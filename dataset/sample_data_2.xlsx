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hya\Downloads\"/>
    </mc:Choice>
  </mc:AlternateContent>
  <xr:revisionPtr revIDLastSave="0" documentId="13_ncr:1_{0A4C4BB0-216E-41C1-B071-C0B85352977D}" xr6:coauthVersionLast="47" xr6:coauthVersionMax="47" xr10:uidLastSave="{00000000-0000-0000-0000-000000000000}"/>
  <bookViews>
    <workbookView xWindow="-108" yWindow="-108" windowWidth="23256" windowHeight="12456" activeTab="2" xr2:uid="{80A8E881-7719-482E-BAD8-EC52AD15A784}"/>
  </bookViews>
  <sheets>
    <sheet name="Products" sheetId="7" r:id="rId1"/>
    <sheet name="materials" sheetId="4" r:id="rId2"/>
    <sheet name="stock" sheetId="8" r:id="rId3"/>
  </sheets>
  <definedNames>
    <definedName name="_xlnm._FilterDatabase" localSheetId="1" hidden="1">materials!$A$1:$C$579</definedName>
    <definedName name="_xlnm._FilterDatabase" localSheetId="2" hidden="1">stock!$A$1:$A$579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9" i="4" l="1"/>
  <c r="C578" i="4"/>
  <c r="C567" i="4"/>
  <c r="C566" i="4"/>
  <c r="C573" i="4"/>
  <c r="C572" i="4"/>
  <c r="C550" i="4"/>
  <c r="C548" i="4"/>
  <c r="C547" i="4"/>
  <c r="C564" i="4"/>
  <c r="C563" i="4"/>
  <c r="C533" i="4"/>
  <c r="C531" i="4"/>
  <c r="C530" i="4"/>
  <c r="C545" i="4"/>
  <c r="C544" i="4"/>
  <c r="C512" i="4"/>
  <c r="C527" i="4"/>
  <c r="C526" i="4"/>
  <c r="C499" i="4"/>
  <c r="C497" i="4"/>
  <c r="C496" i="4"/>
  <c r="C511" i="4"/>
  <c r="C510" i="4"/>
  <c r="C474" i="4"/>
  <c r="C473" i="4"/>
  <c r="C472" i="4"/>
  <c r="C471" i="4"/>
  <c r="C467" i="4"/>
  <c r="C483" i="4"/>
  <c r="C484" i="4"/>
  <c r="C490" i="4"/>
  <c r="C491" i="4"/>
  <c r="C493" i="4"/>
  <c r="C430" i="4"/>
  <c r="C429" i="4"/>
  <c r="C494" i="4"/>
  <c r="C426" i="4"/>
  <c r="C425" i="4"/>
  <c r="C352" i="4"/>
  <c r="C351" i="4"/>
  <c r="C317" i="4"/>
  <c r="C316" i="4"/>
  <c r="C293" i="4"/>
  <c r="C292" i="4"/>
  <c r="C286" i="4"/>
  <c r="C285" i="4"/>
  <c r="C277" i="4"/>
  <c r="C276" i="4"/>
  <c r="C270" i="4"/>
  <c r="C269" i="4"/>
  <c r="C262" i="4"/>
  <c r="C261" i="4"/>
  <c r="C237" i="4"/>
  <c r="C211" i="4"/>
  <c r="C209" i="4"/>
  <c r="C208" i="4"/>
  <c r="C228" i="4"/>
  <c r="C227" i="4"/>
  <c r="C194" i="4"/>
  <c r="C193" i="4"/>
  <c r="C192" i="4"/>
  <c r="C191" i="4"/>
  <c r="C207" i="4"/>
  <c r="C206" i="4"/>
  <c r="C176" i="4"/>
  <c r="C174" i="4"/>
  <c r="C173" i="4"/>
  <c r="C190" i="4"/>
  <c r="C189" i="4"/>
  <c r="C159" i="4"/>
  <c r="C157" i="4"/>
  <c r="C156" i="4"/>
  <c r="C172" i="4"/>
  <c r="C171" i="4"/>
  <c r="C124" i="4"/>
  <c r="C123" i="4"/>
  <c r="C106" i="4"/>
  <c r="C104" i="4"/>
  <c r="C103" i="4"/>
  <c r="C122" i="4"/>
  <c r="C121" i="4"/>
  <c r="C88" i="4"/>
  <c r="C86" i="4"/>
  <c r="C85" i="4"/>
  <c r="C102" i="4"/>
  <c r="C101" i="4"/>
  <c r="C70" i="4"/>
  <c r="C68" i="4"/>
  <c r="C67" i="4"/>
  <c r="C84" i="4"/>
  <c r="C83" i="4"/>
  <c r="C52" i="4"/>
  <c r="C50" i="4"/>
  <c r="C66" i="4"/>
  <c r="C65" i="4"/>
  <c r="C36" i="4"/>
  <c r="C35" i="4"/>
  <c r="C34" i="4"/>
  <c r="C49" i="4"/>
  <c r="C48" i="4"/>
  <c r="C21" i="4"/>
  <c r="C19" i="4"/>
  <c r="C18" i="4"/>
  <c r="C33" i="4"/>
  <c r="C32" i="4"/>
  <c r="C4" i="4"/>
  <c r="C2" i="4"/>
</calcChain>
</file>

<file path=xl/sharedStrings.xml><?xml version="1.0" encoding="utf-8"?>
<sst xmlns="http://schemas.openxmlformats.org/spreadsheetml/2006/main" count="1840" uniqueCount="207">
  <si>
    <t>Item Code</t>
  </si>
  <si>
    <t>IF-BR-001</t>
  </si>
  <si>
    <t>PT-2200</t>
  </si>
  <si>
    <t>IF-2008</t>
  </si>
  <si>
    <t>TW-001</t>
  </si>
  <si>
    <t>PT-2150</t>
  </si>
  <si>
    <t>PT-3150</t>
  </si>
  <si>
    <t>IC-1200</t>
  </si>
  <si>
    <t>IC-1220</t>
  </si>
  <si>
    <t>IC-1182</t>
  </si>
  <si>
    <t>PT-2075</t>
  </si>
  <si>
    <t>IF-2079A</t>
  </si>
  <si>
    <t>NE-02</t>
  </si>
  <si>
    <t>TW-002</t>
  </si>
  <si>
    <t>UB-TV-2000</t>
  </si>
  <si>
    <t>IF-2007</t>
  </si>
  <si>
    <t>IF-2022</t>
  </si>
  <si>
    <t>TW-003</t>
  </si>
  <si>
    <t>IC-1240</t>
  </si>
  <si>
    <t>IF-6006</t>
  </si>
  <si>
    <t>IF-2027</t>
  </si>
  <si>
    <t>SCP-01</t>
  </si>
  <si>
    <t>ISP-09</t>
  </si>
  <si>
    <t>IF-6001</t>
  </si>
  <si>
    <t>IF-6030</t>
  </si>
  <si>
    <t>IF-6002</t>
  </si>
  <si>
    <t>IF-2003</t>
  </si>
  <si>
    <t>IC-1181</t>
  </si>
  <si>
    <t>TR-SB-002</t>
  </si>
  <si>
    <t>ED-UC-R20</t>
  </si>
  <si>
    <t>ED-UC-R30</t>
  </si>
  <si>
    <t>ED-UC-R35</t>
  </si>
  <si>
    <t>ED-UC-R40</t>
  </si>
  <si>
    <t>ED-UC-R45</t>
  </si>
  <si>
    <t>ED-UC-R65</t>
  </si>
  <si>
    <t>ED-CF-R45</t>
  </si>
  <si>
    <t>ED-CF-R55</t>
  </si>
  <si>
    <t>ED-CF-R65</t>
  </si>
  <si>
    <t>ED-CF-R80</t>
  </si>
  <si>
    <t>ED-CF-R85</t>
  </si>
  <si>
    <t>IB-6002</t>
  </si>
  <si>
    <t>IF-2005</t>
  </si>
  <si>
    <t>IF-2023</t>
  </si>
  <si>
    <t>IF-2030</t>
  </si>
  <si>
    <t>IF-6023</t>
  </si>
  <si>
    <t>SM000030BIF-NRFIT</t>
  </si>
  <si>
    <t>SM000200AG</t>
  </si>
  <si>
    <t>SM000017A</t>
  </si>
  <si>
    <t>SM000078</t>
  </si>
  <si>
    <t>SM000011ARB</t>
  </si>
  <si>
    <t>SM000230AG</t>
  </si>
  <si>
    <t>SM000230AG3EX</t>
  </si>
  <si>
    <t>SM000010A</t>
  </si>
  <si>
    <t>SM000010B</t>
  </si>
  <si>
    <t>SM000011A</t>
  </si>
  <si>
    <t>SM000011B</t>
  </si>
  <si>
    <t>SM000012ARB</t>
  </si>
  <si>
    <t>SM000017B</t>
  </si>
  <si>
    <t>SM000020</t>
  </si>
  <si>
    <t>SM000022</t>
  </si>
  <si>
    <t>SM000028</t>
  </si>
  <si>
    <t>SM000063</t>
  </si>
  <si>
    <t>SM000090</t>
  </si>
  <si>
    <t>SM000012A</t>
  </si>
  <si>
    <t>SM000035</t>
  </si>
  <si>
    <t>SM000021</t>
  </si>
  <si>
    <t>SM000062</t>
  </si>
  <si>
    <t>SM000011ARA</t>
  </si>
  <si>
    <t>SM000012B</t>
  </si>
  <si>
    <t>SM000014</t>
  </si>
  <si>
    <t>SM000019</t>
  </si>
  <si>
    <t>SM000023</t>
  </si>
  <si>
    <t>SM000161B</t>
  </si>
  <si>
    <t>SM000082WPU</t>
  </si>
  <si>
    <t>SM000087WPU</t>
  </si>
  <si>
    <t>SM000200AG82WPU</t>
  </si>
  <si>
    <t>SQL Code</t>
  </si>
  <si>
    <t>Unit</t>
  </si>
  <si>
    <t>CIF-MM720P5.00-0238</t>
  </si>
  <si>
    <t>CIF-MM705P1.20-0131</t>
  </si>
  <si>
    <t>CHE-UV-GLUE</t>
  </si>
  <si>
    <t>CHE-UV-GLUE-FL</t>
  </si>
  <si>
    <t>P-F140M423-0313</t>
  </si>
  <si>
    <t>P-MP-0154</t>
  </si>
  <si>
    <t>CIF-LLC-0213</t>
  </si>
  <si>
    <t>CIF-NP-0125</t>
  </si>
  <si>
    <t>CIF-SR-0126</t>
  </si>
  <si>
    <t>PVC 68A</t>
  </si>
  <si>
    <t>CIF-LLC-0313</t>
  </si>
  <si>
    <t>CIF-LL-0213</t>
  </si>
  <si>
    <t>CIF-HS-0108</t>
  </si>
  <si>
    <t>CIF-RL-0108</t>
  </si>
  <si>
    <t>CIF-YP-0113</t>
  </si>
  <si>
    <t>CIF-AVS20D-0113</t>
  </si>
  <si>
    <t>CIF-SC-0108</t>
  </si>
  <si>
    <t>CIF-AVC-0108</t>
  </si>
  <si>
    <t>CIF-DC-0108</t>
  </si>
  <si>
    <t>PIF-F70M85-0113</t>
  </si>
  <si>
    <t>P-F90M423-0154</t>
  </si>
  <si>
    <t>PVC 75A</t>
  </si>
  <si>
    <t>CIF-SRC-0413</t>
  </si>
  <si>
    <t>CIF-AVS20D-0108</t>
  </si>
  <si>
    <t>CIF-CC-0108</t>
  </si>
  <si>
    <t>CIF-DC-0313</t>
  </si>
  <si>
    <t>CIF-FL(9909-1)-0113</t>
  </si>
  <si>
    <t>CIF-EPC-0213</t>
  </si>
  <si>
    <t>CIF-2WC-0113</t>
  </si>
  <si>
    <t>CIF-3WC-0113</t>
  </si>
  <si>
    <t>CIF-SLC-0104</t>
  </si>
  <si>
    <t>CIF-EP-0125</t>
  </si>
  <si>
    <t>CIF-BCV-0232</t>
  </si>
  <si>
    <t>CIF-CRLL-0213</t>
  </si>
  <si>
    <t>CIF-CTW-0159</t>
  </si>
  <si>
    <t>CIF-N60D-0104</t>
  </si>
  <si>
    <t>P-MPSM001-0154</t>
  </si>
  <si>
    <t>CIF-T00PU187(Yellow)-0113</t>
  </si>
  <si>
    <t>CIF-DCC-0113</t>
  </si>
  <si>
    <t>CIF-T00PU22(Yellow)-0113</t>
  </si>
  <si>
    <t>CIF-4WC-0252</t>
  </si>
  <si>
    <t>CIF-NC-0125</t>
  </si>
  <si>
    <t>CIF-T00PU12(Yellow)-0113</t>
  </si>
  <si>
    <t>CIF-AVS20D-0613</t>
  </si>
  <si>
    <t>CIF-DC-0108Y</t>
  </si>
  <si>
    <t>RM-PVC75A-JM</t>
  </si>
  <si>
    <t>CHE - UV-GLUE</t>
  </si>
  <si>
    <t>CHE - UV-GLUE-FL</t>
  </si>
  <si>
    <t>P-MP-0113</t>
  </si>
  <si>
    <t>CIF-LL-0313</t>
  </si>
  <si>
    <t>CIF-LLC-0513</t>
  </si>
  <si>
    <t xml:space="preserve">CISP-ID-0140 </t>
  </si>
  <si>
    <t>CISP-SG-0137</t>
  </si>
  <si>
    <t>CISP-SP-0237</t>
  </si>
  <si>
    <t>CISP-TQ-0221</t>
  </si>
  <si>
    <t>CISP-ST-0121</t>
  </si>
  <si>
    <t>CISP-SS-0253</t>
  </si>
  <si>
    <t xml:space="preserve">CISP-TF-0121 </t>
  </si>
  <si>
    <t>PVC 80A</t>
  </si>
  <si>
    <t>CIF-CRLL-0342</t>
  </si>
  <si>
    <t>CIF-SLC-0108</t>
  </si>
  <si>
    <t>CIF-EP-0225</t>
  </si>
  <si>
    <t>CIF-CC-0542</t>
  </si>
  <si>
    <t>CIF-R2WC-0342</t>
  </si>
  <si>
    <t>CIF-SLC-0208</t>
  </si>
  <si>
    <t>CIF-BCV-0413</t>
  </si>
  <si>
    <t>CIF-R3WC-0342</t>
  </si>
  <si>
    <t>CIF-SLC-0308</t>
  </si>
  <si>
    <t>CIF-CC-0342</t>
  </si>
  <si>
    <t>CIF-R4WC-0342</t>
  </si>
  <si>
    <t>CIF-SLC-0542</t>
  </si>
  <si>
    <t>CIF-CC-0442</t>
  </si>
  <si>
    <t>CIF-TC-0142</t>
  </si>
  <si>
    <t>CIF-TC-0242</t>
  </si>
  <si>
    <t>CIF-NAVS20D-0249</t>
  </si>
  <si>
    <t>CIF-BCV-0332</t>
  </si>
  <si>
    <t>CIF-FL-0118</t>
  </si>
  <si>
    <t>ART WHITE</t>
  </si>
  <si>
    <t>ART BLUE</t>
  </si>
  <si>
    <t>ART YELLOW</t>
  </si>
  <si>
    <t>ART RAINBOW</t>
  </si>
  <si>
    <t>CIF-2WC-0242</t>
  </si>
  <si>
    <t>CIF-LLC-0751</t>
  </si>
  <si>
    <t>SM000030BIF (NR-FIT)</t>
  </si>
  <si>
    <t>CIF-NRFMC-0232</t>
  </si>
  <si>
    <t>CIF-NRFFLC-0232</t>
  </si>
  <si>
    <t>CIF-3WYC-0232</t>
  </si>
  <si>
    <t>CIF-NRFLC-0232</t>
  </si>
  <si>
    <t>CIF-LLC-0232</t>
  </si>
  <si>
    <t>CIF-CRLL-0413</t>
  </si>
  <si>
    <t>CIF-T00PU30(Yellow)-0113</t>
  </si>
  <si>
    <t>CIF-LL-0551</t>
  </si>
  <si>
    <t>CIF-LL-0652</t>
  </si>
  <si>
    <t>CIF-CC-0313</t>
  </si>
  <si>
    <t>CIF-T00PU37(Yellow)-0113</t>
  </si>
  <si>
    <t>CIF-NC-0225</t>
  </si>
  <si>
    <t>NE-02A</t>
  </si>
  <si>
    <t>CSC-FC-0114                 </t>
  </si>
  <si>
    <t>BAG HDPE</t>
  </si>
  <si>
    <t>BAG LDPE</t>
  </si>
  <si>
    <t>PVC 85A</t>
  </si>
  <si>
    <t>CSC-T00PVC22-0148</t>
  </si>
  <si>
    <t>CIF-RCTW-0159</t>
  </si>
  <si>
    <t>P-F140M423-0154</t>
  </si>
  <si>
    <t>CIF-CRLL-0513</t>
  </si>
  <si>
    <t>CIF-LL-0413</t>
  </si>
  <si>
    <t>CIF-LL-0613</t>
  </si>
  <si>
    <t>CIPS-LLC-0232</t>
  </si>
  <si>
    <t>CIPS-CLLC-0232</t>
  </si>
  <si>
    <t>CIPS-BCV-0232</t>
  </si>
  <si>
    <t>CIPS-CC-0232</t>
  </si>
  <si>
    <t>CIPS-BCV-0332</t>
  </si>
  <si>
    <t>CIPS-YP-0232</t>
  </si>
  <si>
    <t>CIPS-CRLL-0232</t>
  </si>
  <si>
    <t>CIPS-MLLC-0232</t>
  </si>
  <si>
    <t>CIPS-T00TRI-PVC165-0108</t>
  </si>
  <si>
    <t>CIPS-T00TRI-EVA165-0108</t>
  </si>
  <si>
    <t>CIPS-T00TRI-PE165-0108</t>
  </si>
  <si>
    <t>CIPS-T00DEHP0.2-0108</t>
  </si>
  <si>
    <t>CIPS-T00PE15-0108</t>
  </si>
  <si>
    <t>CIPS-T00EVA15-0108</t>
  </si>
  <si>
    <t>CIPS-T00PVC15-0108</t>
  </si>
  <si>
    <t>PIF-SMESC02.2-0150</t>
  </si>
  <si>
    <t>PIF-SMESB02.2-0150</t>
  </si>
  <si>
    <t>Grand Total</t>
  </si>
  <si>
    <t>Sum of O/S Qty</t>
  </si>
  <si>
    <t>trade</t>
  </si>
  <si>
    <t>Product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</si>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</sst>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 vertical="center"/>
    </xf>
    <xf numFmtId="164" fontId="2" fillId="0" borderId="1" xfId="0" quotePrefix="1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3" fillId="3" borderId="1" xfId="0" applyNumberFormat="1" applyFont="1" applyFill="1" applyBorder="1" applyAlignment="1">
      <alignment horizontal="right" vertical="center"/>
    </xf>
    <xf numFmtId="164" fontId="0" fillId="0" borderId="0" xfId="0" applyNumberFormat="1" applyAlignment="1">
      <alignment horizontal="right"/>
    </xf>
    <xf numFmtId="4" fontId="0" fillId="0" borderId="0" xfId="0" applyNumberFormat="1"/>
    <xf numFmtId="0" fontId="1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/>
    <xf numFmtId="0" fontId="2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0" fillId="0" borderId="2" xfId="0" applyBorder="1"/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401F1FF2-DEDE-4313-A7BC-6C467C69C58C}"/>
  </cellStyles>
  <dxfs count="2">
    <dxf>
      <border outline="0">
        <left style="thin">
          <color indexed="64"/>
        </left>
      </border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25D57-89BD-408A-B649-EBB7032CB40A}" name="Table1" displayName="Table1" ref="A1:B76" totalsRowShown="0">
  <autoFilter ref="A1:B76" xr:uid="{FC025D57-89BD-408A-B649-EBB7032CB40A}"/>
  <tableColumns count="2">
    <tableColumn id="1" xr3:uid="{0AEEDE38-B614-455F-B073-0E57A0CEB14E}" name="Product"/>
    <tableColumn id="2" xr3:uid="{75B329B0-BB88-4960-A653-3512D2F9793F}" name="Sum of O/S Qty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B800C-FE2E-4858-A070-612BC5BC49FD}" name="Table2" displayName="Table2" ref="A1:B579" totalsRowShown="0" tableBorderDxfId="0">
  <autoFilter ref="A1:B579" xr:uid="{D4EB800C-FE2E-4858-A070-612BC5BC49FD}"/>
  <tableColumns count="2">
    <tableColumn id="1" xr3:uid="{1581132C-36C6-4F58-9377-EAEDE37DF22C}" name="SQL Code"/>
    <tableColumn id="2" xr3:uid="{4EF92D80-FB4C-4EE1-BB74-CDC8D0906712}" name="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ABF6-F1C0-41AE-B2DC-E8BFF476FCC7}">
  <dimension ref="A1:C77"/>
  <sheetViews>
    <sheetView workbookViewId="0">
      <selection sqref="A1:XFD1"/>
    </sheetView>
  </sheetViews>
  <sheetFormatPr defaultRowHeight="14.4" x14ac:dyDescent="0.3"/>
  <cols>
    <col min="1" max="1" width="18.21875" bestFit="1" customWidth="1"/>
    <col min="2" max="2" width="16" style="25" customWidth="1"/>
  </cols>
  <sheetData>
    <row r="1" spans="1:3" x14ac:dyDescent="0.3">
      <c r="A1" t="s">
        <v>205</v>
      </c>
      <c r="B1" s="25" t="s">
        <v>203</v>
      </c>
    </row>
    <row r="2" spans="1:3" x14ac:dyDescent="0.3">
      <c r="A2" t="s">
        <v>35</v>
      </c>
      <c r="B2" s="25">
        <v>1300</v>
      </c>
      <c r="C2" t="s">
        <v>204</v>
      </c>
    </row>
    <row r="3" spans="1:3" x14ac:dyDescent="0.3">
      <c r="A3" t="s">
        <v>36</v>
      </c>
      <c r="B3" s="25">
        <v>800</v>
      </c>
      <c r="C3" t="s">
        <v>204</v>
      </c>
    </row>
    <row r="4" spans="1:3" x14ac:dyDescent="0.3">
      <c r="A4" t="s">
        <v>37</v>
      </c>
      <c r="B4" s="25">
        <v>1300</v>
      </c>
      <c r="C4" t="s">
        <v>204</v>
      </c>
    </row>
    <row r="5" spans="1:3" x14ac:dyDescent="0.3">
      <c r="A5" t="s">
        <v>38</v>
      </c>
      <c r="B5" s="25">
        <v>800</v>
      </c>
      <c r="C5" t="s">
        <v>204</v>
      </c>
    </row>
    <row r="6" spans="1:3" x14ac:dyDescent="0.3">
      <c r="A6" t="s">
        <v>39</v>
      </c>
      <c r="B6" s="25">
        <v>800</v>
      </c>
      <c r="C6" t="s">
        <v>204</v>
      </c>
    </row>
    <row r="7" spans="1:3" x14ac:dyDescent="0.3">
      <c r="A7" t="s">
        <v>29</v>
      </c>
      <c r="B7" s="25">
        <v>700</v>
      </c>
      <c r="C7" t="s">
        <v>204</v>
      </c>
    </row>
    <row r="8" spans="1:3" x14ac:dyDescent="0.3">
      <c r="A8" t="s">
        <v>30</v>
      </c>
      <c r="B8" s="25">
        <v>800</v>
      </c>
      <c r="C8" t="s">
        <v>204</v>
      </c>
    </row>
    <row r="9" spans="1:3" x14ac:dyDescent="0.3">
      <c r="A9" t="s">
        <v>31</v>
      </c>
      <c r="B9" s="25">
        <v>800</v>
      </c>
      <c r="C9" t="s">
        <v>204</v>
      </c>
    </row>
    <row r="10" spans="1:3" x14ac:dyDescent="0.3">
      <c r="A10" t="s">
        <v>32</v>
      </c>
      <c r="B10" s="25">
        <v>800</v>
      </c>
      <c r="C10" t="s">
        <v>204</v>
      </c>
    </row>
    <row r="11" spans="1:3" x14ac:dyDescent="0.3">
      <c r="A11" t="s">
        <v>33</v>
      </c>
      <c r="B11" s="25">
        <v>800</v>
      </c>
      <c r="C11" t="s">
        <v>204</v>
      </c>
    </row>
    <row r="12" spans="1:3" x14ac:dyDescent="0.3">
      <c r="A12" t="s">
        <v>34</v>
      </c>
      <c r="B12" s="25">
        <v>800</v>
      </c>
      <c r="C12" t="s">
        <v>204</v>
      </c>
    </row>
    <row r="13" spans="1:3" x14ac:dyDescent="0.3">
      <c r="A13" t="s">
        <v>40</v>
      </c>
      <c r="B13" s="25">
        <v>141100</v>
      </c>
      <c r="C13" t="s">
        <v>204</v>
      </c>
    </row>
    <row r="14" spans="1:3" x14ac:dyDescent="0.3">
      <c r="A14" t="s">
        <v>27</v>
      </c>
      <c r="B14" s="25">
        <v>5000</v>
      </c>
      <c r="C14" t="s">
        <v>204</v>
      </c>
    </row>
    <row r="15" spans="1:3" x14ac:dyDescent="0.3">
      <c r="A15" t="s">
        <v>9</v>
      </c>
      <c r="B15" s="25">
        <v>9000</v>
      </c>
      <c r="C15" t="s">
        <v>204</v>
      </c>
    </row>
    <row r="16" spans="1:3" x14ac:dyDescent="0.3">
      <c r="A16" t="s">
        <v>7</v>
      </c>
      <c r="B16" s="25">
        <v>23500</v>
      </c>
      <c r="C16" t="s">
        <v>204</v>
      </c>
    </row>
    <row r="17" spans="1:3" x14ac:dyDescent="0.3">
      <c r="A17" t="s">
        <v>8</v>
      </c>
      <c r="B17" s="25">
        <v>35800</v>
      </c>
      <c r="C17" t="s">
        <v>204</v>
      </c>
    </row>
    <row r="18" spans="1:3" x14ac:dyDescent="0.3">
      <c r="A18" t="s">
        <v>18</v>
      </c>
      <c r="B18" s="25">
        <v>30200</v>
      </c>
      <c r="C18" t="s">
        <v>204</v>
      </c>
    </row>
    <row r="19" spans="1:3" x14ac:dyDescent="0.3">
      <c r="A19" t="s">
        <v>26</v>
      </c>
      <c r="B19" s="25">
        <v>8100</v>
      </c>
    </row>
    <row r="20" spans="1:3" x14ac:dyDescent="0.3">
      <c r="A20" t="s">
        <v>41</v>
      </c>
      <c r="B20" s="25">
        <v>142800</v>
      </c>
    </row>
    <row r="21" spans="1:3" x14ac:dyDescent="0.3">
      <c r="A21" t="s">
        <v>15</v>
      </c>
      <c r="B21" s="25">
        <v>7900</v>
      </c>
      <c r="C21" t="s">
        <v>204</v>
      </c>
    </row>
    <row r="22" spans="1:3" x14ac:dyDescent="0.3">
      <c r="A22" t="s">
        <v>3</v>
      </c>
      <c r="B22" s="25">
        <v>28700</v>
      </c>
    </row>
    <row r="23" spans="1:3" x14ac:dyDescent="0.3">
      <c r="A23" t="s">
        <v>16</v>
      </c>
      <c r="B23" s="25">
        <v>3400</v>
      </c>
    </row>
    <row r="24" spans="1:3" x14ac:dyDescent="0.3">
      <c r="A24" t="s">
        <v>42</v>
      </c>
      <c r="B24" s="25">
        <v>11250</v>
      </c>
    </row>
    <row r="25" spans="1:3" x14ac:dyDescent="0.3">
      <c r="A25" t="s">
        <v>20</v>
      </c>
      <c r="B25" s="25">
        <v>63400</v>
      </c>
    </row>
    <row r="26" spans="1:3" x14ac:dyDescent="0.3">
      <c r="A26" t="s">
        <v>43</v>
      </c>
      <c r="B26" s="25">
        <v>8880</v>
      </c>
    </row>
    <row r="27" spans="1:3" x14ac:dyDescent="0.3">
      <c r="A27" t="s">
        <v>11</v>
      </c>
      <c r="B27" s="25">
        <v>8400</v>
      </c>
    </row>
    <row r="28" spans="1:3" x14ac:dyDescent="0.3">
      <c r="A28" t="s">
        <v>23</v>
      </c>
      <c r="B28" s="25">
        <v>91500</v>
      </c>
    </row>
    <row r="29" spans="1:3" x14ac:dyDescent="0.3">
      <c r="A29" t="s">
        <v>25</v>
      </c>
      <c r="B29" s="25">
        <v>43500</v>
      </c>
    </row>
    <row r="30" spans="1:3" x14ac:dyDescent="0.3">
      <c r="A30" t="s">
        <v>19</v>
      </c>
      <c r="B30" s="25">
        <v>13000</v>
      </c>
    </row>
    <row r="31" spans="1:3" x14ac:dyDescent="0.3">
      <c r="A31" t="s">
        <v>44</v>
      </c>
      <c r="B31" s="25">
        <v>11250</v>
      </c>
    </row>
    <row r="32" spans="1:3" x14ac:dyDescent="0.3">
      <c r="A32" t="s">
        <v>24</v>
      </c>
      <c r="B32" s="25">
        <v>10080</v>
      </c>
    </row>
    <row r="33" spans="1:3" x14ac:dyDescent="0.3">
      <c r="A33" t="s">
        <v>1</v>
      </c>
      <c r="B33" s="25">
        <v>41000</v>
      </c>
      <c r="C33" t="s">
        <v>204</v>
      </c>
    </row>
    <row r="34" spans="1:3" x14ac:dyDescent="0.3">
      <c r="A34" t="s">
        <v>22</v>
      </c>
      <c r="B34" s="25">
        <v>75000</v>
      </c>
    </row>
    <row r="35" spans="1:3" x14ac:dyDescent="0.3">
      <c r="A35" t="s">
        <v>12</v>
      </c>
      <c r="B35" s="25">
        <v>1000</v>
      </c>
    </row>
    <row r="36" spans="1:3" x14ac:dyDescent="0.3">
      <c r="A36" t="s">
        <v>10</v>
      </c>
      <c r="B36" s="25">
        <v>33140</v>
      </c>
    </row>
    <row r="37" spans="1:3" x14ac:dyDescent="0.3">
      <c r="A37" t="s">
        <v>5</v>
      </c>
      <c r="B37" s="25">
        <v>46480</v>
      </c>
    </row>
    <row r="38" spans="1:3" x14ac:dyDescent="0.3">
      <c r="A38" t="s">
        <v>2</v>
      </c>
      <c r="B38" s="25">
        <v>49832</v>
      </c>
      <c r="C38" t="s">
        <v>204</v>
      </c>
    </row>
    <row r="39" spans="1:3" x14ac:dyDescent="0.3">
      <c r="A39" t="s">
        <v>6</v>
      </c>
      <c r="B39" s="25">
        <v>1800</v>
      </c>
    </row>
    <row r="40" spans="1:3" x14ac:dyDescent="0.3">
      <c r="A40" t="s">
        <v>21</v>
      </c>
      <c r="B40" s="25">
        <v>25700</v>
      </c>
    </row>
    <row r="41" spans="1:3" x14ac:dyDescent="0.3">
      <c r="A41" t="s">
        <v>52</v>
      </c>
      <c r="B41" s="25">
        <v>24400</v>
      </c>
    </row>
    <row r="42" spans="1:3" x14ac:dyDescent="0.3">
      <c r="A42" t="s">
        <v>53</v>
      </c>
      <c r="B42" s="25">
        <v>149400</v>
      </c>
    </row>
    <row r="43" spans="1:3" x14ac:dyDescent="0.3">
      <c r="A43" t="s">
        <v>54</v>
      </c>
      <c r="B43" s="25">
        <v>19200</v>
      </c>
    </row>
    <row r="44" spans="1:3" x14ac:dyDescent="0.3">
      <c r="A44" t="s">
        <v>67</v>
      </c>
      <c r="B44" s="25">
        <v>16000</v>
      </c>
    </row>
    <row r="45" spans="1:3" x14ac:dyDescent="0.3">
      <c r="A45" t="s">
        <v>49</v>
      </c>
      <c r="B45" s="25">
        <v>267600</v>
      </c>
    </row>
    <row r="46" spans="1:3" x14ac:dyDescent="0.3">
      <c r="A46" t="s">
        <v>55</v>
      </c>
      <c r="B46" s="25">
        <v>190600</v>
      </c>
    </row>
    <row r="47" spans="1:3" x14ac:dyDescent="0.3">
      <c r="A47" t="s">
        <v>63</v>
      </c>
      <c r="B47" s="25">
        <v>3600</v>
      </c>
    </row>
    <row r="48" spans="1:3" x14ac:dyDescent="0.3">
      <c r="A48" t="s">
        <v>56</v>
      </c>
      <c r="B48" s="25">
        <v>8400</v>
      </c>
    </row>
    <row r="49" spans="1:2" x14ac:dyDescent="0.3">
      <c r="A49" t="s">
        <v>68</v>
      </c>
      <c r="B49" s="25">
        <v>1600</v>
      </c>
    </row>
    <row r="50" spans="1:2" x14ac:dyDescent="0.3">
      <c r="A50" t="s">
        <v>69</v>
      </c>
      <c r="B50" s="25">
        <v>1200</v>
      </c>
    </row>
    <row r="51" spans="1:2" x14ac:dyDescent="0.3">
      <c r="A51" t="s">
        <v>47</v>
      </c>
      <c r="B51" s="25">
        <v>117600</v>
      </c>
    </row>
    <row r="52" spans="1:2" x14ac:dyDescent="0.3">
      <c r="A52" t="s">
        <v>57</v>
      </c>
      <c r="B52" s="25">
        <v>471600</v>
      </c>
    </row>
    <row r="53" spans="1:2" x14ac:dyDescent="0.3">
      <c r="A53" t="s">
        <v>70</v>
      </c>
      <c r="B53" s="25">
        <v>600</v>
      </c>
    </row>
    <row r="54" spans="1:2" x14ac:dyDescent="0.3">
      <c r="A54" t="s">
        <v>58</v>
      </c>
      <c r="B54" s="25">
        <v>35000</v>
      </c>
    </row>
    <row r="55" spans="1:2" x14ac:dyDescent="0.3">
      <c r="A55" t="s">
        <v>65</v>
      </c>
      <c r="B55" s="25">
        <v>2400</v>
      </c>
    </row>
    <row r="56" spans="1:2" x14ac:dyDescent="0.3">
      <c r="A56" t="s">
        <v>59</v>
      </c>
      <c r="B56" s="25">
        <v>800</v>
      </c>
    </row>
    <row r="57" spans="1:2" x14ac:dyDescent="0.3">
      <c r="A57" t="s">
        <v>71</v>
      </c>
      <c r="B57" s="25">
        <v>2000</v>
      </c>
    </row>
    <row r="58" spans="1:2" x14ac:dyDescent="0.3">
      <c r="A58" t="s">
        <v>60</v>
      </c>
      <c r="B58" s="25">
        <v>14000</v>
      </c>
    </row>
    <row r="59" spans="1:2" x14ac:dyDescent="0.3">
      <c r="A59" t="s">
        <v>45</v>
      </c>
      <c r="B59" s="25">
        <v>6000</v>
      </c>
    </row>
    <row r="60" spans="1:2" x14ac:dyDescent="0.3">
      <c r="A60" t="s">
        <v>64</v>
      </c>
      <c r="B60" s="25">
        <v>10900</v>
      </c>
    </row>
    <row r="61" spans="1:2" x14ac:dyDescent="0.3">
      <c r="A61" t="s">
        <v>66</v>
      </c>
      <c r="B61" s="25">
        <v>800</v>
      </c>
    </row>
    <row r="62" spans="1:2" x14ac:dyDescent="0.3">
      <c r="A62" t="s">
        <v>61</v>
      </c>
      <c r="B62" s="25">
        <v>800</v>
      </c>
    </row>
    <row r="63" spans="1:2" x14ac:dyDescent="0.3">
      <c r="A63" t="s">
        <v>48</v>
      </c>
      <c r="B63" s="25">
        <v>40000</v>
      </c>
    </row>
    <row r="64" spans="1:2" x14ac:dyDescent="0.3">
      <c r="A64" t="s">
        <v>73</v>
      </c>
      <c r="B64" s="25">
        <v>7360</v>
      </c>
    </row>
    <row r="65" spans="1:3" x14ac:dyDescent="0.3">
      <c r="A65" t="s">
        <v>74</v>
      </c>
      <c r="B65" s="25">
        <v>3080</v>
      </c>
    </row>
    <row r="66" spans="1:3" x14ac:dyDescent="0.3">
      <c r="A66" t="s">
        <v>62</v>
      </c>
      <c r="B66" s="25">
        <v>43000</v>
      </c>
    </row>
    <row r="67" spans="1:3" x14ac:dyDescent="0.3">
      <c r="A67" t="s">
        <v>72</v>
      </c>
      <c r="B67" s="25">
        <v>18400</v>
      </c>
      <c r="C67" t="s">
        <v>204</v>
      </c>
    </row>
    <row r="68" spans="1:3" x14ac:dyDescent="0.3">
      <c r="A68" t="s">
        <v>46</v>
      </c>
      <c r="B68" s="25">
        <v>548100</v>
      </c>
    </row>
    <row r="69" spans="1:3" x14ac:dyDescent="0.3">
      <c r="A69" t="s">
        <v>75</v>
      </c>
      <c r="B69" s="25">
        <v>4000</v>
      </c>
    </row>
    <row r="70" spans="1:3" x14ac:dyDescent="0.3">
      <c r="A70" t="s">
        <v>50</v>
      </c>
      <c r="B70" s="25">
        <v>1259380</v>
      </c>
    </row>
    <row r="71" spans="1:3" x14ac:dyDescent="0.3">
      <c r="A71" t="s">
        <v>51</v>
      </c>
      <c r="B71" s="25">
        <v>39200</v>
      </c>
    </row>
    <row r="72" spans="1:3" x14ac:dyDescent="0.3">
      <c r="A72" t="s">
        <v>28</v>
      </c>
      <c r="B72" s="25">
        <v>10000</v>
      </c>
      <c r="C72" t="s">
        <v>204</v>
      </c>
    </row>
    <row r="73" spans="1:3" x14ac:dyDescent="0.3">
      <c r="A73" t="s">
        <v>4</v>
      </c>
      <c r="B73" s="25">
        <v>72000</v>
      </c>
    </row>
    <row r="74" spans="1:3" x14ac:dyDescent="0.3">
      <c r="A74" t="s">
        <v>13</v>
      </c>
      <c r="B74" s="25">
        <v>50000</v>
      </c>
    </row>
    <row r="75" spans="1:3" x14ac:dyDescent="0.3">
      <c r="A75" t="s">
        <v>17</v>
      </c>
      <c r="B75" s="25">
        <v>60000</v>
      </c>
    </row>
    <row r="76" spans="1:3" x14ac:dyDescent="0.3">
      <c r="A76" t="s">
        <v>14</v>
      </c>
      <c r="B76" s="25">
        <v>10000</v>
      </c>
      <c r="C76" t="s">
        <v>204</v>
      </c>
    </row>
    <row r="77" spans="1:3" x14ac:dyDescent="0.3">
      <c r="A77" t="s">
        <v>202</v>
      </c>
      <c r="B77" s="25">
        <v>4489432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BF0D-35FD-4222-81EB-404D52679D17}">
  <dimension ref="A1:D579"/>
  <sheetViews>
    <sheetView workbookViewId="0">
      <selection activeCell="C13" sqref="C13"/>
    </sheetView>
  </sheetViews>
  <sheetFormatPr defaultRowHeight="14.4" x14ac:dyDescent="0.3"/>
  <cols>
    <col min="1" max="1" width="18.6640625" bestFit="1" customWidth="1"/>
    <col min="2" max="2" width="19.44140625" bestFit="1" customWidth="1"/>
    <col min="3" max="3" width="11.77734375" style="24" bestFit="1" customWidth="1"/>
  </cols>
  <sheetData>
    <row r="1" spans="1:3" x14ac:dyDescent="0.3">
      <c r="A1" s="1" t="s">
        <v>0</v>
      </c>
      <c r="B1" s="1" t="s">
        <v>76</v>
      </c>
      <c r="C1" s="14" t="s">
        <v>77</v>
      </c>
    </row>
    <row r="2" spans="1:3" x14ac:dyDescent="0.3">
      <c r="A2" s="5" t="s">
        <v>26</v>
      </c>
      <c r="B2" s="5" t="s">
        <v>79</v>
      </c>
      <c r="C2" s="15">
        <f>1/85000</f>
        <v>1.1764705882352942E-5</v>
      </c>
    </row>
    <row r="3" spans="1:3" x14ac:dyDescent="0.3">
      <c r="A3" s="7" t="s">
        <v>26</v>
      </c>
      <c r="B3" s="5" t="s">
        <v>80</v>
      </c>
      <c r="C3" s="15">
        <v>1.1111111111111112E-4</v>
      </c>
    </row>
    <row r="4" spans="1:3" x14ac:dyDescent="0.3">
      <c r="A4" s="7" t="s">
        <v>26</v>
      </c>
      <c r="B4" s="5" t="s">
        <v>81</v>
      </c>
      <c r="C4" s="15">
        <f>1/80000</f>
        <v>1.2500000000000001E-5</v>
      </c>
    </row>
    <row r="5" spans="1:3" x14ac:dyDescent="0.3">
      <c r="A5" s="7" t="s">
        <v>26</v>
      </c>
      <c r="B5" s="5" t="s">
        <v>87</v>
      </c>
      <c r="C5" s="15">
        <v>1</v>
      </c>
    </row>
    <row r="6" spans="1:3" x14ac:dyDescent="0.3">
      <c r="A6" s="7" t="s">
        <v>26</v>
      </c>
      <c r="B6" s="5" t="s">
        <v>88</v>
      </c>
      <c r="C6" s="15">
        <v>1</v>
      </c>
    </row>
    <row r="7" spans="1:3" x14ac:dyDescent="0.3">
      <c r="A7" s="7" t="s">
        <v>26</v>
      </c>
      <c r="B7" s="5" t="s">
        <v>89</v>
      </c>
      <c r="C7" s="15">
        <v>1</v>
      </c>
    </row>
    <row r="8" spans="1:3" x14ac:dyDescent="0.3">
      <c r="A8" s="7" t="s">
        <v>26</v>
      </c>
      <c r="B8" s="5" t="s">
        <v>90</v>
      </c>
      <c r="C8" s="15">
        <v>1</v>
      </c>
    </row>
    <row r="9" spans="1:3" x14ac:dyDescent="0.3">
      <c r="A9" s="7" t="s">
        <v>26</v>
      </c>
      <c r="B9" s="5" t="s">
        <v>91</v>
      </c>
      <c r="C9" s="15">
        <v>1</v>
      </c>
    </row>
    <row r="10" spans="1:3" x14ac:dyDescent="0.3">
      <c r="A10" s="7" t="s">
        <v>26</v>
      </c>
      <c r="B10" s="5" t="s">
        <v>92</v>
      </c>
      <c r="C10" s="15">
        <v>1</v>
      </c>
    </row>
    <row r="11" spans="1:3" x14ac:dyDescent="0.3">
      <c r="A11" s="7" t="s">
        <v>26</v>
      </c>
      <c r="B11" s="5" t="s">
        <v>93</v>
      </c>
      <c r="C11" s="15">
        <v>1</v>
      </c>
    </row>
    <row r="12" spans="1:3" x14ac:dyDescent="0.3">
      <c r="A12" s="7" t="s">
        <v>26</v>
      </c>
      <c r="B12" s="7" t="s">
        <v>94</v>
      </c>
      <c r="C12" s="16">
        <v>1</v>
      </c>
    </row>
    <row r="13" spans="1:3" x14ac:dyDescent="0.3">
      <c r="A13" s="7" t="s">
        <v>26</v>
      </c>
      <c r="B13" s="7" t="s">
        <v>95</v>
      </c>
      <c r="C13" s="16">
        <v>1</v>
      </c>
    </row>
    <row r="14" spans="1:3" x14ac:dyDescent="0.3">
      <c r="A14" s="7" t="s">
        <v>26</v>
      </c>
      <c r="B14" s="5" t="s">
        <v>96</v>
      </c>
      <c r="C14" s="15">
        <v>1</v>
      </c>
    </row>
    <row r="15" spans="1:3" x14ac:dyDescent="0.3">
      <c r="A15" s="7" t="s">
        <v>26</v>
      </c>
      <c r="B15" s="5" t="s">
        <v>97</v>
      </c>
      <c r="C15" s="15">
        <v>1</v>
      </c>
    </row>
    <row r="16" spans="1:3" x14ac:dyDescent="0.3">
      <c r="A16" s="7" t="s">
        <v>26</v>
      </c>
      <c r="B16" s="5" t="s">
        <v>98</v>
      </c>
      <c r="C16" s="15">
        <v>5.5555555555555558E-5</v>
      </c>
    </row>
    <row r="17" spans="1:3" x14ac:dyDescent="0.3">
      <c r="A17" s="7" t="s">
        <v>26</v>
      </c>
      <c r="B17" s="5" t="s">
        <v>83</v>
      </c>
      <c r="C17" s="15">
        <v>5.5555555555555558E-5</v>
      </c>
    </row>
    <row r="18" spans="1:3" x14ac:dyDescent="0.3">
      <c r="A18" s="5" t="s">
        <v>41</v>
      </c>
      <c r="B18" s="5" t="s">
        <v>78</v>
      </c>
      <c r="C18" s="15">
        <f>1/30000</f>
        <v>3.3333333333333335E-5</v>
      </c>
    </row>
    <row r="19" spans="1:3" x14ac:dyDescent="0.3">
      <c r="A19" s="5" t="s">
        <v>41</v>
      </c>
      <c r="B19" s="5" t="s">
        <v>79</v>
      </c>
      <c r="C19" s="15">
        <f>1/85000</f>
        <v>1.1764705882352942E-5</v>
      </c>
    </row>
    <row r="20" spans="1:3" x14ac:dyDescent="0.3">
      <c r="A20" s="5" t="s">
        <v>41</v>
      </c>
      <c r="B20" s="7" t="s">
        <v>80</v>
      </c>
      <c r="C20" s="15">
        <v>1.1111111111111112E-4</v>
      </c>
    </row>
    <row r="21" spans="1:3" x14ac:dyDescent="0.3">
      <c r="A21" s="5" t="s">
        <v>41</v>
      </c>
      <c r="B21" s="7" t="s">
        <v>81</v>
      </c>
      <c r="C21" s="15">
        <f>1/80000</f>
        <v>1.2500000000000001E-5</v>
      </c>
    </row>
    <row r="22" spans="1:3" x14ac:dyDescent="0.3">
      <c r="A22" s="5" t="s">
        <v>41</v>
      </c>
      <c r="B22" s="5" t="s">
        <v>99</v>
      </c>
      <c r="C22" s="16">
        <v>1</v>
      </c>
    </row>
    <row r="23" spans="1:3" x14ac:dyDescent="0.3">
      <c r="A23" s="5" t="s">
        <v>41</v>
      </c>
      <c r="B23" s="5" t="s">
        <v>88</v>
      </c>
      <c r="C23" s="16">
        <v>1</v>
      </c>
    </row>
    <row r="24" spans="1:3" x14ac:dyDescent="0.3">
      <c r="A24" s="5" t="s">
        <v>41</v>
      </c>
      <c r="B24" s="5" t="s">
        <v>89</v>
      </c>
      <c r="C24" s="15">
        <v>1</v>
      </c>
    </row>
    <row r="25" spans="1:3" x14ac:dyDescent="0.3">
      <c r="A25" s="5" t="s">
        <v>41</v>
      </c>
      <c r="B25" s="5" t="s">
        <v>85</v>
      </c>
      <c r="C25" s="16">
        <v>1</v>
      </c>
    </row>
    <row r="26" spans="1:3" x14ac:dyDescent="0.3">
      <c r="A26" s="5" t="s">
        <v>41</v>
      </c>
      <c r="B26" s="5" t="s">
        <v>100</v>
      </c>
      <c r="C26" s="15">
        <v>1</v>
      </c>
    </row>
    <row r="27" spans="1:3" x14ac:dyDescent="0.3">
      <c r="A27" s="5" t="s">
        <v>41</v>
      </c>
      <c r="B27" s="5" t="s">
        <v>101</v>
      </c>
      <c r="C27" s="15">
        <v>1</v>
      </c>
    </row>
    <row r="28" spans="1:3" x14ac:dyDescent="0.3">
      <c r="A28" s="5" t="s">
        <v>41</v>
      </c>
      <c r="B28" s="7" t="s">
        <v>94</v>
      </c>
      <c r="C28" s="16">
        <v>1</v>
      </c>
    </row>
    <row r="29" spans="1:3" x14ac:dyDescent="0.3">
      <c r="A29" s="5" t="s">
        <v>41</v>
      </c>
      <c r="B29" s="7" t="s">
        <v>95</v>
      </c>
      <c r="C29" s="16">
        <v>1</v>
      </c>
    </row>
    <row r="30" spans="1:3" x14ac:dyDescent="0.3">
      <c r="A30" s="5" t="s">
        <v>41</v>
      </c>
      <c r="B30" s="5" t="s">
        <v>96</v>
      </c>
      <c r="C30" s="15">
        <v>1</v>
      </c>
    </row>
    <row r="31" spans="1:3" x14ac:dyDescent="0.3">
      <c r="A31" s="5" t="s">
        <v>41</v>
      </c>
      <c r="B31" s="5" t="s">
        <v>97</v>
      </c>
      <c r="C31" s="15">
        <v>1</v>
      </c>
    </row>
    <row r="32" spans="1:3" x14ac:dyDescent="0.3">
      <c r="A32" s="5" t="s">
        <v>41</v>
      </c>
      <c r="B32" s="5" t="s">
        <v>98</v>
      </c>
      <c r="C32" s="15">
        <f>1/18000</f>
        <v>5.5555555555555558E-5</v>
      </c>
    </row>
    <row r="33" spans="1:3" x14ac:dyDescent="0.3">
      <c r="A33" s="5" t="s">
        <v>41</v>
      </c>
      <c r="B33" s="5" t="s">
        <v>83</v>
      </c>
      <c r="C33" s="15">
        <f>1/18000</f>
        <v>5.5555555555555558E-5</v>
      </c>
    </row>
    <row r="34" spans="1:3" x14ac:dyDescent="0.3">
      <c r="A34" s="7" t="s">
        <v>3</v>
      </c>
      <c r="B34" s="5" t="s">
        <v>79</v>
      </c>
      <c r="C34" s="15">
        <f>1/85000</f>
        <v>1.1764705882352942E-5</v>
      </c>
    </row>
    <row r="35" spans="1:3" x14ac:dyDescent="0.3">
      <c r="A35" s="7" t="s">
        <v>3</v>
      </c>
      <c r="B35" s="7" t="s">
        <v>80</v>
      </c>
      <c r="C35" s="15">
        <f>0.000111111111111111</f>
        <v>1.1111111111111099E-4</v>
      </c>
    </row>
    <row r="36" spans="1:3" x14ac:dyDescent="0.3">
      <c r="A36" s="7" t="s">
        <v>3</v>
      </c>
      <c r="B36" s="7" t="s">
        <v>81</v>
      </c>
      <c r="C36" s="15">
        <f>1/80000</f>
        <v>1.2500000000000001E-5</v>
      </c>
    </row>
    <row r="37" spans="1:3" x14ac:dyDescent="0.3">
      <c r="A37" s="7" t="s">
        <v>3</v>
      </c>
      <c r="B37" s="5" t="s">
        <v>87</v>
      </c>
      <c r="C37" s="15">
        <v>1</v>
      </c>
    </row>
    <row r="38" spans="1:3" x14ac:dyDescent="0.3">
      <c r="A38" s="7" t="s">
        <v>3</v>
      </c>
      <c r="B38" s="5" t="s">
        <v>88</v>
      </c>
      <c r="C38" s="16">
        <v>1</v>
      </c>
    </row>
    <row r="39" spans="1:3" x14ac:dyDescent="0.3">
      <c r="A39" s="7" t="s">
        <v>3</v>
      </c>
      <c r="B39" s="5" t="s">
        <v>89</v>
      </c>
      <c r="C39" s="15">
        <v>1</v>
      </c>
    </row>
    <row r="40" spans="1:3" x14ac:dyDescent="0.3">
      <c r="A40" s="7" t="s">
        <v>3</v>
      </c>
      <c r="B40" s="5" t="s">
        <v>90</v>
      </c>
      <c r="C40" s="15">
        <v>1</v>
      </c>
    </row>
    <row r="41" spans="1:3" x14ac:dyDescent="0.3">
      <c r="A41" s="7" t="s">
        <v>3</v>
      </c>
      <c r="B41" s="5" t="s">
        <v>91</v>
      </c>
      <c r="C41" s="15">
        <v>1</v>
      </c>
    </row>
    <row r="42" spans="1:3" x14ac:dyDescent="0.3">
      <c r="A42" s="7" t="s">
        <v>3</v>
      </c>
      <c r="B42" s="5" t="s">
        <v>92</v>
      </c>
      <c r="C42" s="15">
        <v>1</v>
      </c>
    </row>
    <row r="43" spans="1:3" x14ac:dyDescent="0.3">
      <c r="A43" s="7" t="s">
        <v>3</v>
      </c>
      <c r="B43" s="5" t="s">
        <v>101</v>
      </c>
      <c r="C43" s="15">
        <v>1</v>
      </c>
    </row>
    <row r="44" spans="1:3" x14ac:dyDescent="0.3">
      <c r="A44" s="7" t="s">
        <v>3</v>
      </c>
      <c r="B44" s="7" t="s">
        <v>94</v>
      </c>
      <c r="C44" s="16">
        <v>1</v>
      </c>
    </row>
    <row r="45" spans="1:3" x14ac:dyDescent="0.3">
      <c r="A45" s="7" t="s">
        <v>3</v>
      </c>
      <c r="B45" s="7" t="s">
        <v>95</v>
      </c>
      <c r="C45" s="16">
        <v>1</v>
      </c>
    </row>
    <row r="46" spans="1:3" x14ac:dyDescent="0.3">
      <c r="A46" s="7" t="s">
        <v>3</v>
      </c>
      <c r="B46" s="5" t="s">
        <v>103</v>
      </c>
      <c r="C46" s="15">
        <v>1</v>
      </c>
    </row>
    <row r="47" spans="1:3" x14ac:dyDescent="0.3">
      <c r="A47" s="7" t="s">
        <v>3</v>
      </c>
      <c r="B47" s="5" t="s">
        <v>97</v>
      </c>
      <c r="C47" s="15">
        <v>1</v>
      </c>
    </row>
    <row r="48" spans="1:3" x14ac:dyDescent="0.3">
      <c r="A48" s="7" t="s">
        <v>3</v>
      </c>
      <c r="B48" s="5" t="s">
        <v>98</v>
      </c>
      <c r="C48" s="15">
        <f>1/18000</f>
        <v>5.5555555555555558E-5</v>
      </c>
    </row>
    <row r="49" spans="1:3" x14ac:dyDescent="0.3">
      <c r="A49" s="7" t="s">
        <v>3</v>
      </c>
      <c r="B49" s="5" t="s">
        <v>83</v>
      </c>
      <c r="C49" s="15">
        <f>1/18000</f>
        <v>5.5555555555555558E-5</v>
      </c>
    </row>
    <row r="50" spans="1:3" x14ac:dyDescent="0.3">
      <c r="A50" s="7" t="s">
        <v>16</v>
      </c>
      <c r="B50" s="5" t="s">
        <v>79</v>
      </c>
      <c r="C50" s="15">
        <f>1/85000</f>
        <v>1.1764705882352942E-5</v>
      </c>
    </row>
    <row r="51" spans="1:3" x14ac:dyDescent="0.3">
      <c r="A51" s="7" t="s">
        <v>16</v>
      </c>
      <c r="B51" s="7" t="s">
        <v>80</v>
      </c>
      <c r="C51" s="15">
        <v>1.1111111111111112E-4</v>
      </c>
    </row>
    <row r="52" spans="1:3" x14ac:dyDescent="0.3">
      <c r="A52" s="7" t="s">
        <v>16</v>
      </c>
      <c r="B52" s="7" t="s">
        <v>81</v>
      </c>
      <c r="C52" s="15">
        <f>1/80000</f>
        <v>1.2500000000000001E-5</v>
      </c>
    </row>
    <row r="53" spans="1:3" x14ac:dyDescent="0.3">
      <c r="A53" s="7" t="s">
        <v>16</v>
      </c>
      <c r="B53" s="5" t="s">
        <v>99</v>
      </c>
      <c r="C53" s="16">
        <v>1</v>
      </c>
    </row>
    <row r="54" spans="1:3" x14ac:dyDescent="0.3">
      <c r="A54" s="7" t="s">
        <v>16</v>
      </c>
      <c r="B54" s="5" t="s">
        <v>88</v>
      </c>
      <c r="C54" s="15">
        <v>1</v>
      </c>
    </row>
    <row r="55" spans="1:3" x14ac:dyDescent="0.3">
      <c r="A55" s="7" t="s">
        <v>16</v>
      </c>
      <c r="B55" s="5" t="s">
        <v>89</v>
      </c>
      <c r="C55" s="15">
        <v>1</v>
      </c>
    </row>
    <row r="56" spans="1:3" x14ac:dyDescent="0.3">
      <c r="A56" s="7" t="s">
        <v>16</v>
      </c>
      <c r="B56" s="5" t="s">
        <v>92</v>
      </c>
      <c r="C56" s="15">
        <v>1</v>
      </c>
    </row>
    <row r="57" spans="1:3" x14ac:dyDescent="0.3">
      <c r="A57" s="7" t="s">
        <v>16</v>
      </c>
      <c r="B57" s="7" t="s">
        <v>104</v>
      </c>
      <c r="C57" s="16">
        <v>1</v>
      </c>
    </row>
    <row r="58" spans="1:3" x14ac:dyDescent="0.3">
      <c r="A58" s="7" t="s">
        <v>16</v>
      </c>
      <c r="B58" s="5" t="s">
        <v>90</v>
      </c>
      <c r="C58" s="15">
        <v>1</v>
      </c>
    </row>
    <row r="59" spans="1:3" x14ac:dyDescent="0.3">
      <c r="A59" s="7" t="s">
        <v>16</v>
      </c>
      <c r="B59" s="5" t="s">
        <v>91</v>
      </c>
      <c r="C59" s="15">
        <v>1</v>
      </c>
    </row>
    <row r="60" spans="1:3" x14ac:dyDescent="0.3">
      <c r="A60" s="7" t="s">
        <v>16</v>
      </c>
      <c r="B60" s="5" t="s">
        <v>101</v>
      </c>
      <c r="C60" s="15">
        <v>1</v>
      </c>
    </row>
    <row r="61" spans="1:3" x14ac:dyDescent="0.3">
      <c r="A61" s="7" t="s">
        <v>16</v>
      </c>
      <c r="B61" s="7" t="s">
        <v>94</v>
      </c>
      <c r="C61" s="16">
        <v>1</v>
      </c>
    </row>
    <row r="62" spans="1:3" x14ac:dyDescent="0.3">
      <c r="A62" s="7" t="s">
        <v>16</v>
      </c>
      <c r="B62" s="7" t="s">
        <v>95</v>
      </c>
      <c r="C62" s="16">
        <v>1</v>
      </c>
    </row>
    <row r="63" spans="1:3" x14ac:dyDescent="0.3">
      <c r="A63" s="7" t="s">
        <v>16</v>
      </c>
      <c r="B63" s="5" t="s">
        <v>96</v>
      </c>
      <c r="C63" s="15">
        <v>1</v>
      </c>
    </row>
    <row r="64" spans="1:3" x14ac:dyDescent="0.3">
      <c r="A64" s="7" t="s">
        <v>16</v>
      </c>
      <c r="B64" s="5" t="s">
        <v>97</v>
      </c>
      <c r="C64" s="15">
        <v>1</v>
      </c>
    </row>
    <row r="65" spans="1:3" x14ac:dyDescent="0.3">
      <c r="A65" s="7" t="s">
        <v>16</v>
      </c>
      <c r="B65" s="5" t="s">
        <v>98</v>
      </c>
      <c r="C65" s="15">
        <f>1/18000</f>
        <v>5.5555555555555558E-5</v>
      </c>
    </row>
    <row r="66" spans="1:3" x14ac:dyDescent="0.3">
      <c r="A66" s="7" t="s">
        <v>16</v>
      </c>
      <c r="B66" s="5" t="s">
        <v>83</v>
      </c>
      <c r="C66" s="15">
        <f>1/18000</f>
        <v>5.5555555555555558E-5</v>
      </c>
    </row>
    <row r="67" spans="1:3" x14ac:dyDescent="0.3">
      <c r="A67" s="7" t="s">
        <v>42</v>
      </c>
      <c r="B67" s="5" t="s">
        <v>78</v>
      </c>
      <c r="C67" s="15">
        <f>1/30000</f>
        <v>3.3333333333333335E-5</v>
      </c>
    </row>
    <row r="68" spans="1:3" x14ac:dyDescent="0.3">
      <c r="A68" s="7" t="s">
        <v>42</v>
      </c>
      <c r="B68" s="5" t="s">
        <v>79</v>
      </c>
      <c r="C68" s="15">
        <f>1/85000</f>
        <v>1.1764705882352942E-5</v>
      </c>
    </row>
    <row r="69" spans="1:3" x14ac:dyDescent="0.3">
      <c r="A69" s="7" t="s">
        <v>42</v>
      </c>
      <c r="B69" s="7" t="s">
        <v>80</v>
      </c>
      <c r="C69" s="15">
        <v>1.1111111111111112E-4</v>
      </c>
    </row>
    <row r="70" spans="1:3" x14ac:dyDescent="0.3">
      <c r="A70" s="7" t="s">
        <v>42</v>
      </c>
      <c r="B70" s="7" t="s">
        <v>81</v>
      </c>
      <c r="C70" s="15">
        <f>1/80000</f>
        <v>1.2500000000000001E-5</v>
      </c>
    </row>
    <row r="71" spans="1:3" x14ac:dyDescent="0.3">
      <c r="A71" s="7" t="s">
        <v>42</v>
      </c>
      <c r="B71" s="5" t="s">
        <v>99</v>
      </c>
      <c r="C71" s="16">
        <v>1</v>
      </c>
    </row>
    <row r="72" spans="1:3" x14ac:dyDescent="0.3">
      <c r="A72" s="7" t="s">
        <v>42</v>
      </c>
      <c r="B72" s="7" t="s">
        <v>105</v>
      </c>
      <c r="C72" s="16">
        <v>1</v>
      </c>
    </row>
    <row r="73" spans="1:3" x14ac:dyDescent="0.3">
      <c r="A73" s="7" t="s">
        <v>42</v>
      </c>
      <c r="B73" s="5" t="s">
        <v>89</v>
      </c>
      <c r="C73" s="15">
        <v>1</v>
      </c>
    </row>
    <row r="74" spans="1:3" x14ac:dyDescent="0.3">
      <c r="A74" s="7" t="s">
        <v>42</v>
      </c>
      <c r="B74" s="5" t="s">
        <v>85</v>
      </c>
      <c r="C74" s="16">
        <v>1</v>
      </c>
    </row>
    <row r="75" spans="1:3" x14ac:dyDescent="0.3">
      <c r="A75" s="7" t="s">
        <v>42</v>
      </c>
      <c r="B75" s="5" t="s">
        <v>102</v>
      </c>
      <c r="C75" s="15">
        <v>1</v>
      </c>
    </row>
    <row r="76" spans="1:3" x14ac:dyDescent="0.3">
      <c r="A76" s="7" t="s">
        <v>42</v>
      </c>
      <c r="B76" s="5" t="s">
        <v>90</v>
      </c>
      <c r="C76" s="15">
        <v>1</v>
      </c>
    </row>
    <row r="77" spans="1:3" x14ac:dyDescent="0.3">
      <c r="A77" s="7" t="s">
        <v>42</v>
      </c>
      <c r="B77" s="5" t="s">
        <v>91</v>
      </c>
      <c r="C77" s="15">
        <v>1</v>
      </c>
    </row>
    <row r="78" spans="1:3" x14ac:dyDescent="0.3">
      <c r="A78" s="7" t="s">
        <v>42</v>
      </c>
      <c r="B78" s="5" t="s">
        <v>101</v>
      </c>
      <c r="C78" s="15">
        <v>1</v>
      </c>
    </row>
    <row r="79" spans="1:3" x14ac:dyDescent="0.3">
      <c r="A79" s="7" t="s">
        <v>42</v>
      </c>
      <c r="B79" s="7" t="s">
        <v>94</v>
      </c>
      <c r="C79" s="16">
        <v>1</v>
      </c>
    </row>
    <row r="80" spans="1:3" x14ac:dyDescent="0.3">
      <c r="A80" s="7" t="s">
        <v>42</v>
      </c>
      <c r="B80" s="7" t="s">
        <v>95</v>
      </c>
      <c r="C80" s="16">
        <v>1</v>
      </c>
    </row>
    <row r="81" spans="1:3" x14ac:dyDescent="0.3">
      <c r="A81" s="7" t="s">
        <v>42</v>
      </c>
      <c r="B81" s="5" t="s">
        <v>96</v>
      </c>
      <c r="C81" s="15">
        <v>1</v>
      </c>
    </row>
    <row r="82" spans="1:3" x14ac:dyDescent="0.3">
      <c r="A82" s="7" t="s">
        <v>42</v>
      </c>
      <c r="B82" s="5" t="s">
        <v>97</v>
      </c>
      <c r="C82" s="15">
        <v>1</v>
      </c>
    </row>
    <row r="83" spans="1:3" x14ac:dyDescent="0.3">
      <c r="A83" s="7" t="s">
        <v>42</v>
      </c>
      <c r="B83" s="5" t="s">
        <v>98</v>
      </c>
      <c r="C83" s="15">
        <f>1/18000</f>
        <v>5.5555555555555558E-5</v>
      </c>
    </row>
    <row r="84" spans="1:3" x14ac:dyDescent="0.3">
      <c r="A84" s="7" t="s">
        <v>42</v>
      </c>
      <c r="B84" s="5" t="s">
        <v>83</v>
      </c>
      <c r="C84" s="15">
        <f>1/18000</f>
        <v>5.5555555555555558E-5</v>
      </c>
    </row>
    <row r="85" spans="1:3" x14ac:dyDescent="0.3">
      <c r="A85" s="7" t="s">
        <v>20</v>
      </c>
      <c r="B85" s="5" t="s">
        <v>78</v>
      </c>
      <c r="C85" s="15">
        <f>1/30000</f>
        <v>3.3333333333333335E-5</v>
      </c>
    </row>
    <row r="86" spans="1:3" x14ac:dyDescent="0.3">
      <c r="A86" s="7" t="s">
        <v>20</v>
      </c>
      <c r="B86" s="5" t="s">
        <v>79</v>
      </c>
      <c r="C86" s="15">
        <f>1/85000</f>
        <v>1.1764705882352942E-5</v>
      </c>
    </row>
    <row r="87" spans="1:3" x14ac:dyDescent="0.3">
      <c r="A87" s="7" t="s">
        <v>20</v>
      </c>
      <c r="B87" s="7" t="s">
        <v>80</v>
      </c>
      <c r="C87" s="15">
        <v>1.1111111111111112E-4</v>
      </c>
    </row>
    <row r="88" spans="1:3" x14ac:dyDescent="0.3">
      <c r="A88" s="7" t="s">
        <v>20</v>
      </c>
      <c r="B88" s="7" t="s">
        <v>81</v>
      </c>
      <c r="C88" s="15">
        <f>1/80000</f>
        <v>1.2500000000000001E-5</v>
      </c>
    </row>
    <row r="89" spans="1:3" x14ac:dyDescent="0.3">
      <c r="A89" s="7" t="s">
        <v>20</v>
      </c>
      <c r="B89" s="5" t="s">
        <v>87</v>
      </c>
      <c r="C89" s="15">
        <v>1</v>
      </c>
    </row>
    <row r="90" spans="1:3" x14ac:dyDescent="0.3">
      <c r="A90" s="7" t="s">
        <v>20</v>
      </c>
      <c r="B90" s="7" t="s">
        <v>105</v>
      </c>
      <c r="C90" s="16">
        <v>1</v>
      </c>
    </row>
    <row r="91" spans="1:3" x14ac:dyDescent="0.3">
      <c r="A91" s="7" t="s">
        <v>20</v>
      </c>
      <c r="B91" s="5" t="s">
        <v>89</v>
      </c>
      <c r="C91" s="15">
        <v>1</v>
      </c>
    </row>
    <row r="92" spans="1:3" x14ac:dyDescent="0.3">
      <c r="A92" s="7" t="s">
        <v>20</v>
      </c>
      <c r="B92" s="5" t="s">
        <v>92</v>
      </c>
      <c r="C92" s="15">
        <v>1</v>
      </c>
    </row>
    <row r="93" spans="1:3" x14ac:dyDescent="0.3">
      <c r="A93" s="7" t="s">
        <v>20</v>
      </c>
      <c r="B93" s="5" t="s">
        <v>102</v>
      </c>
      <c r="C93" s="15">
        <v>1</v>
      </c>
    </row>
    <row r="94" spans="1:3" x14ac:dyDescent="0.3">
      <c r="A94" s="7" t="s">
        <v>20</v>
      </c>
      <c r="B94" s="5" t="s">
        <v>90</v>
      </c>
      <c r="C94" s="15">
        <v>1</v>
      </c>
    </row>
    <row r="95" spans="1:3" x14ac:dyDescent="0.3">
      <c r="A95" s="7" t="s">
        <v>20</v>
      </c>
      <c r="B95" s="5" t="s">
        <v>91</v>
      </c>
      <c r="C95" s="15">
        <v>1</v>
      </c>
    </row>
    <row r="96" spans="1:3" x14ac:dyDescent="0.3">
      <c r="A96" s="7" t="s">
        <v>20</v>
      </c>
      <c r="B96" s="5" t="s">
        <v>101</v>
      </c>
      <c r="C96" s="15">
        <v>1</v>
      </c>
    </row>
    <row r="97" spans="1:3" x14ac:dyDescent="0.3">
      <c r="A97" s="7" t="s">
        <v>20</v>
      </c>
      <c r="B97" s="7" t="s">
        <v>94</v>
      </c>
      <c r="C97" s="16">
        <v>1</v>
      </c>
    </row>
    <row r="98" spans="1:3" x14ac:dyDescent="0.3">
      <c r="A98" s="7" t="s">
        <v>20</v>
      </c>
      <c r="B98" s="7" t="s">
        <v>95</v>
      </c>
      <c r="C98" s="16">
        <v>1</v>
      </c>
    </row>
    <row r="99" spans="1:3" x14ac:dyDescent="0.3">
      <c r="A99" s="7" t="s">
        <v>20</v>
      </c>
      <c r="B99" s="5" t="s">
        <v>96</v>
      </c>
      <c r="C99" s="15">
        <v>1</v>
      </c>
    </row>
    <row r="100" spans="1:3" x14ac:dyDescent="0.3">
      <c r="A100" s="7" t="s">
        <v>20</v>
      </c>
      <c r="B100" s="5" t="s">
        <v>97</v>
      </c>
      <c r="C100" s="15">
        <v>1</v>
      </c>
    </row>
    <row r="101" spans="1:3" x14ac:dyDescent="0.3">
      <c r="A101" s="7" t="s">
        <v>20</v>
      </c>
      <c r="B101" s="5" t="s">
        <v>98</v>
      </c>
      <c r="C101" s="15">
        <f>1/18000</f>
        <v>5.5555555555555558E-5</v>
      </c>
    </row>
    <row r="102" spans="1:3" x14ac:dyDescent="0.3">
      <c r="A102" s="7" t="s">
        <v>20</v>
      </c>
      <c r="B102" s="5" t="s">
        <v>83</v>
      </c>
      <c r="C102" s="15">
        <f>1/18000</f>
        <v>5.5555555555555558E-5</v>
      </c>
    </row>
    <row r="103" spans="1:3" x14ac:dyDescent="0.3">
      <c r="A103" s="7" t="s">
        <v>43</v>
      </c>
      <c r="B103" s="5" t="s">
        <v>78</v>
      </c>
      <c r="C103" s="15">
        <f>1/30000</f>
        <v>3.3333333333333335E-5</v>
      </c>
    </row>
    <row r="104" spans="1:3" x14ac:dyDescent="0.3">
      <c r="A104" s="7" t="s">
        <v>43</v>
      </c>
      <c r="B104" s="5" t="s">
        <v>79</v>
      </c>
      <c r="C104" s="15">
        <f>1/85000</f>
        <v>1.1764705882352942E-5</v>
      </c>
    </row>
    <row r="105" spans="1:3" x14ac:dyDescent="0.3">
      <c r="A105" s="7" t="s">
        <v>43</v>
      </c>
      <c r="B105" s="7" t="s">
        <v>80</v>
      </c>
      <c r="C105" s="15">
        <v>1.1111111111111112E-4</v>
      </c>
    </row>
    <row r="106" spans="1:3" x14ac:dyDescent="0.3">
      <c r="A106" s="7" t="s">
        <v>43</v>
      </c>
      <c r="B106" s="7" t="s">
        <v>81</v>
      </c>
      <c r="C106" s="15">
        <f>1/80000</f>
        <v>1.2500000000000001E-5</v>
      </c>
    </row>
    <row r="107" spans="1:3" x14ac:dyDescent="0.3">
      <c r="A107" s="7" t="s">
        <v>43</v>
      </c>
      <c r="B107" s="5" t="s">
        <v>99</v>
      </c>
      <c r="C107" s="16">
        <v>1</v>
      </c>
    </row>
    <row r="108" spans="1:3" x14ac:dyDescent="0.3">
      <c r="A108" s="7" t="s">
        <v>43</v>
      </c>
      <c r="B108" s="5" t="s">
        <v>105</v>
      </c>
      <c r="C108" s="16">
        <v>1</v>
      </c>
    </row>
    <row r="109" spans="1:3" x14ac:dyDescent="0.3">
      <c r="A109" s="7" t="s">
        <v>43</v>
      </c>
      <c r="B109" s="5" t="s">
        <v>89</v>
      </c>
      <c r="C109" s="15">
        <v>1</v>
      </c>
    </row>
    <row r="110" spans="1:3" x14ac:dyDescent="0.3">
      <c r="A110" s="7" t="s">
        <v>43</v>
      </c>
      <c r="B110" s="5" t="s">
        <v>106</v>
      </c>
      <c r="C110" s="16">
        <v>1</v>
      </c>
    </row>
    <row r="111" spans="1:3" x14ac:dyDescent="0.3">
      <c r="A111" s="7" t="s">
        <v>43</v>
      </c>
      <c r="B111" s="5" t="s">
        <v>107</v>
      </c>
      <c r="C111" s="16">
        <v>1</v>
      </c>
    </row>
    <row r="112" spans="1:3" x14ac:dyDescent="0.3">
      <c r="A112" s="7" t="s">
        <v>43</v>
      </c>
      <c r="B112" s="5" t="s">
        <v>108</v>
      </c>
      <c r="C112" s="15">
        <v>3</v>
      </c>
    </row>
    <row r="113" spans="1:3" x14ac:dyDescent="0.3">
      <c r="A113" s="7" t="s">
        <v>43</v>
      </c>
      <c r="B113" s="5" t="s">
        <v>109</v>
      </c>
      <c r="C113" s="15">
        <v>3</v>
      </c>
    </row>
    <row r="114" spans="1:3" x14ac:dyDescent="0.3">
      <c r="A114" s="7" t="s">
        <v>43</v>
      </c>
      <c r="B114" s="5" t="s">
        <v>102</v>
      </c>
      <c r="C114" s="15">
        <v>1</v>
      </c>
    </row>
    <row r="115" spans="1:3" x14ac:dyDescent="0.3">
      <c r="A115" s="7" t="s">
        <v>43</v>
      </c>
      <c r="B115" s="5" t="s">
        <v>100</v>
      </c>
      <c r="C115" s="15">
        <v>1</v>
      </c>
    </row>
    <row r="116" spans="1:3" x14ac:dyDescent="0.3">
      <c r="A116" s="7" t="s">
        <v>43</v>
      </c>
      <c r="B116" s="5" t="s">
        <v>101</v>
      </c>
      <c r="C116" s="15">
        <v>1</v>
      </c>
    </row>
    <row r="117" spans="1:3" x14ac:dyDescent="0.3">
      <c r="A117" s="7" t="s">
        <v>43</v>
      </c>
      <c r="B117" s="7" t="s">
        <v>94</v>
      </c>
      <c r="C117" s="16">
        <v>1</v>
      </c>
    </row>
    <row r="118" spans="1:3" x14ac:dyDescent="0.3">
      <c r="A118" s="7" t="s">
        <v>43</v>
      </c>
      <c r="B118" s="7" t="s">
        <v>95</v>
      </c>
      <c r="C118" s="16">
        <v>1</v>
      </c>
    </row>
    <row r="119" spans="1:3" x14ac:dyDescent="0.3">
      <c r="A119" s="7" t="s">
        <v>43</v>
      </c>
      <c r="B119" s="5" t="s">
        <v>96</v>
      </c>
      <c r="C119" s="15">
        <v>1</v>
      </c>
    </row>
    <row r="120" spans="1:3" x14ac:dyDescent="0.3">
      <c r="A120" s="7" t="s">
        <v>43</v>
      </c>
      <c r="B120" s="5" t="s">
        <v>97</v>
      </c>
      <c r="C120" s="15">
        <v>1</v>
      </c>
    </row>
    <row r="121" spans="1:3" x14ac:dyDescent="0.3">
      <c r="A121" s="7" t="s">
        <v>43</v>
      </c>
      <c r="B121" s="5" t="s">
        <v>98</v>
      </c>
      <c r="C121" s="15">
        <f>1/18000</f>
        <v>5.5555555555555558E-5</v>
      </c>
    </row>
    <row r="122" spans="1:3" x14ac:dyDescent="0.3">
      <c r="A122" s="7" t="s">
        <v>43</v>
      </c>
      <c r="B122" s="5" t="s">
        <v>83</v>
      </c>
      <c r="C122" s="15">
        <f>1/18000</f>
        <v>5.5555555555555558E-5</v>
      </c>
    </row>
    <row r="123" spans="1:3" x14ac:dyDescent="0.3">
      <c r="A123" s="7" t="s">
        <v>11</v>
      </c>
      <c r="B123" s="5" t="s">
        <v>78</v>
      </c>
      <c r="C123" s="15">
        <f>1/30000</f>
        <v>3.3333333333333335E-5</v>
      </c>
    </row>
    <row r="124" spans="1:3" x14ac:dyDescent="0.3">
      <c r="A124" s="7" t="s">
        <v>11</v>
      </c>
      <c r="B124" s="5" t="s">
        <v>79</v>
      </c>
      <c r="C124" s="15">
        <f>1/85000</f>
        <v>1.1764705882352942E-5</v>
      </c>
    </row>
    <row r="125" spans="1:3" x14ac:dyDescent="0.3">
      <c r="A125" s="7" t="s">
        <v>11</v>
      </c>
      <c r="B125" s="5" t="s">
        <v>99</v>
      </c>
      <c r="C125" s="16">
        <v>1</v>
      </c>
    </row>
    <row r="126" spans="1:3" x14ac:dyDescent="0.3">
      <c r="A126" s="7" t="s">
        <v>11</v>
      </c>
      <c r="B126" s="7" t="s">
        <v>105</v>
      </c>
      <c r="C126" s="16">
        <v>1</v>
      </c>
    </row>
    <row r="127" spans="1:3" x14ac:dyDescent="0.3">
      <c r="A127" s="7" t="s">
        <v>11</v>
      </c>
      <c r="B127" s="5" t="s">
        <v>89</v>
      </c>
      <c r="C127" s="15">
        <v>1</v>
      </c>
    </row>
    <row r="128" spans="1:3" x14ac:dyDescent="0.3">
      <c r="A128" s="7" t="s">
        <v>11</v>
      </c>
      <c r="B128" s="5" t="s">
        <v>102</v>
      </c>
      <c r="C128" s="15">
        <v>1</v>
      </c>
    </row>
    <row r="129" spans="1:3" x14ac:dyDescent="0.3">
      <c r="A129" s="7" t="s">
        <v>11</v>
      </c>
      <c r="B129" s="5" t="s">
        <v>90</v>
      </c>
      <c r="C129" s="15">
        <v>1</v>
      </c>
    </row>
    <row r="130" spans="1:3" x14ac:dyDescent="0.3">
      <c r="A130" s="7" t="s">
        <v>11</v>
      </c>
      <c r="B130" s="5" t="s">
        <v>91</v>
      </c>
      <c r="C130" s="15">
        <v>1</v>
      </c>
    </row>
    <row r="131" spans="1:3" x14ac:dyDescent="0.3">
      <c r="A131" s="7" t="s">
        <v>11</v>
      </c>
      <c r="B131" s="5" t="s">
        <v>101</v>
      </c>
      <c r="C131" s="15">
        <v>1</v>
      </c>
    </row>
    <row r="132" spans="1:3" x14ac:dyDescent="0.3">
      <c r="A132" s="7" t="s">
        <v>11</v>
      </c>
      <c r="B132" s="7" t="s">
        <v>94</v>
      </c>
      <c r="C132" s="16">
        <v>1</v>
      </c>
    </row>
    <row r="133" spans="1:3" x14ac:dyDescent="0.3">
      <c r="A133" s="7" t="s">
        <v>11</v>
      </c>
      <c r="B133" s="7" t="s">
        <v>95</v>
      </c>
      <c r="C133" s="16">
        <v>1</v>
      </c>
    </row>
    <row r="134" spans="1:3" x14ac:dyDescent="0.3">
      <c r="A134" s="7" t="s">
        <v>11</v>
      </c>
      <c r="B134" s="5" t="s">
        <v>122</v>
      </c>
      <c r="C134" s="15">
        <v>1</v>
      </c>
    </row>
    <row r="135" spans="1:3" x14ac:dyDescent="0.3">
      <c r="A135" s="7" t="s">
        <v>11</v>
      </c>
      <c r="B135" s="5" t="s">
        <v>97</v>
      </c>
      <c r="C135" s="15">
        <v>1</v>
      </c>
    </row>
    <row r="136" spans="1:3" x14ac:dyDescent="0.3">
      <c r="A136" s="7" t="s">
        <v>11</v>
      </c>
      <c r="B136" s="5" t="s">
        <v>98</v>
      </c>
      <c r="C136" s="15">
        <v>5.5555555555555558E-5</v>
      </c>
    </row>
    <row r="137" spans="1:3" x14ac:dyDescent="0.3">
      <c r="A137" s="7" t="s">
        <v>11</v>
      </c>
      <c r="B137" s="5" t="s">
        <v>83</v>
      </c>
      <c r="C137" s="15">
        <v>5.5555555555555558E-5</v>
      </c>
    </row>
    <row r="138" spans="1:3" x14ac:dyDescent="0.3">
      <c r="A138" s="5" t="s">
        <v>23</v>
      </c>
      <c r="B138" s="5" t="s">
        <v>123</v>
      </c>
      <c r="C138" s="16">
        <v>1</v>
      </c>
    </row>
    <row r="139" spans="1:3" x14ac:dyDescent="0.3">
      <c r="A139" s="5" t="s">
        <v>23</v>
      </c>
      <c r="B139" s="7" t="s">
        <v>124</v>
      </c>
      <c r="C139" s="15">
        <v>1.1111111111111112E-4</v>
      </c>
    </row>
    <row r="140" spans="1:3" x14ac:dyDescent="0.3">
      <c r="A140" s="5" t="s">
        <v>23</v>
      </c>
      <c r="B140" s="7" t="s">
        <v>125</v>
      </c>
      <c r="C140" s="15">
        <v>1.2500000000000001E-5</v>
      </c>
    </row>
    <row r="141" spans="1:3" x14ac:dyDescent="0.3">
      <c r="A141" s="5" t="s">
        <v>23</v>
      </c>
      <c r="B141" s="7" t="s">
        <v>95</v>
      </c>
      <c r="C141" s="16">
        <v>1</v>
      </c>
    </row>
    <row r="142" spans="1:3" x14ac:dyDescent="0.3">
      <c r="A142" s="5" t="s">
        <v>23</v>
      </c>
      <c r="B142" s="5" t="s">
        <v>101</v>
      </c>
      <c r="C142" s="15">
        <v>1</v>
      </c>
    </row>
    <row r="143" spans="1:3" x14ac:dyDescent="0.3">
      <c r="A143" s="5" t="s">
        <v>23</v>
      </c>
      <c r="B143" s="5" t="s">
        <v>96</v>
      </c>
      <c r="C143" s="15">
        <v>1</v>
      </c>
    </row>
    <row r="144" spans="1:3" x14ac:dyDescent="0.3">
      <c r="A144" s="5" t="s">
        <v>23</v>
      </c>
      <c r="B144" s="5" t="s">
        <v>90</v>
      </c>
      <c r="C144" s="15">
        <v>1</v>
      </c>
    </row>
    <row r="145" spans="1:3" x14ac:dyDescent="0.3">
      <c r="A145" s="5" t="s">
        <v>23</v>
      </c>
      <c r="B145" s="5" t="s">
        <v>89</v>
      </c>
      <c r="C145" s="15">
        <v>1</v>
      </c>
    </row>
    <row r="146" spans="1:3" x14ac:dyDescent="0.3">
      <c r="A146" s="5" t="s">
        <v>23</v>
      </c>
      <c r="B146" s="5" t="s">
        <v>88</v>
      </c>
      <c r="C146" s="16">
        <v>1</v>
      </c>
    </row>
    <row r="147" spans="1:3" x14ac:dyDescent="0.3">
      <c r="A147" s="5" t="s">
        <v>23</v>
      </c>
      <c r="B147" s="5" t="s">
        <v>79</v>
      </c>
      <c r="C147" s="15">
        <v>2.0000000000000002E-5</v>
      </c>
    </row>
    <row r="148" spans="1:3" x14ac:dyDescent="0.3">
      <c r="A148" s="5" t="s">
        <v>23</v>
      </c>
      <c r="B148" s="5" t="s">
        <v>78</v>
      </c>
      <c r="C148" s="15">
        <v>3.3333333333333335E-5</v>
      </c>
    </row>
    <row r="149" spans="1:3" x14ac:dyDescent="0.3">
      <c r="A149" s="5" t="s">
        <v>23</v>
      </c>
      <c r="B149" s="7" t="s">
        <v>113</v>
      </c>
      <c r="C149" s="16">
        <v>1</v>
      </c>
    </row>
    <row r="150" spans="1:3" x14ac:dyDescent="0.3">
      <c r="A150" s="5" t="s">
        <v>23</v>
      </c>
      <c r="B150" s="5" t="s">
        <v>92</v>
      </c>
      <c r="C150" s="16">
        <v>1</v>
      </c>
    </row>
    <row r="151" spans="1:3" x14ac:dyDescent="0.3">
      <c r="A151" s="5" t="s">
        <v>23</v>
      </c>
      <c r="B151" s="5" t="s">
        <v>91</v>
      </c>
      <c r="C151" s="15">
        <v>1</v>
      </c>
    </row>
    <row r="152" spans="1:3" x14ac:dyDescent="0.3">
      <c r="A152" s="5" t="s">
        <v>23</v>
      </c>
      <c r="B152" s="7" t="s">
        <v>94</v>
      </c>
      <c r="C152" s="16">
        <v>1</v>
      </c>
    </row>
    <row r="153" spans="1:3" x14ac:dyDescent="0.3">
      <c r="A153" s="5" t="s">
        <v>23</v>
      </c>
      <c r="B153" s="5" t="s">
        <v>98</v>
      </c>
      <c r="C153" s="15">
        <v>5.5555555555555558E-5</v>
      </c>
    </row>
    <row r="154" spans="1:3" x14ac:dyDescent="0.3">
      <c r="A154" s="5" t="s">
        <v>23</v>
      </c>
      <c r="B154" s="5" t="s">
        <v>97</v>
      </c>
      <c r="C154" s="15">
        <v>1</v>
      </c>
    </row>
    <row r="155" spans="1:3" x14ac:dyDescent="0.3">
      <c r="A155" s="5" t="s">
        <v>23</v>
      </c>
      <c r="B155" s="5" t="s">
        <v>126</v>
      </c>
      <c r="C155" s="15">
        <v>5.5555555555555558E-5</v>
      </c>
    </row>
    <row r="156" spans="1:3" x14ac:dyDescent="0.3">
      <c r="A156" s="5" t="s">
        <v>25</v>
      </c>
      <c r="B156" s="5" t="s">
        <v>78</v>
      </c>
      <c r="C156" s="15">
        <f>1/30000</f>
        <v>3.3333333333333335E-5</v>
      </c>
    </row>
    <row r="157" spans="1:3" x14ac:dyDescent="0.3">
      <c r="A157" s="5" t="s">
        <v>25</v>
      </c>
      <c r="B157" s="5" t="s">
        <v>79</v>
      </c>
      <c r="C157" s="15">
        <f>1/85000</f>
        <v>1.1764705882352942E-5</v>
      </c>
    </row>
    <row r="158" spans="1:3" x14ac:dyDescent="0.3">
      <c r="A158" s="5" t="s">
        <v>25</v>
      </c>
      <c r="B158" s="7" t="s">
        <v>80</v>
      </c>
      <c r="C158" s="15">
        <v>1.1111111111111112E-4</v>
      </c>
    </row>
    <row r="159" spans="1:3" x14ac:dyDescent="0.3">
      <c r="A159" s="5" t="s">
        <v>25</v>
      </c>
      <c r="B159" s="7" t="s">
        <v>81</v>
      </c>
      <c r="C159" s="15">
        <f>1/80000</f>
        <v>1.2500000000000001E-5</v>
      </c>
    </row>
    <row r="160" spans="1:3" x14ac:dyDescent="0.3">
      <c r="A160" s="5" t="s">
        <v>25</v>
      </c>
      <c r="B160" s="5" t="s">
        <v>99</v>
      </c>
      <c r="C160" s="16">
        <v>1</v>
      </c>
    </row>
    <row r="161" spans="1:3" x14ac:dyDescent="0.3">
      <c r="A161" s="5" t="s">
        <v>25</v>
      </c>
      <c r="B161" s="5" t="s">
        <v>88</v>
      </c>
      <c r="C161" s="16">
        <v>1</v>
      </c>
    </row>
    <row r="162" spans="1:3" x14ac:dyDescent="0.3">
      <c r="A162" s="5" t="s">
        <v>25</v>
      </c>
      <c r="B162" s="5" t="s">
        <v>89</v>
      </c>
      <c r="C162" s="15">
        <v>1</v>
      </c>
    </row>
    <row r="163" spans="1:3" x14ac:dyDescent="0.3">
      <c r="A163" s="5" t="s">
        <v>25</v>
      </c>
      <c r="B163" s="5" t="s">
        <v>85</v>
      </c>
      <c r="C163" s="16">
        <v>1</v>
      </c>
    </row>
    <row r="164" spans="1:3" x14ac:dyDescent="0.3">
      <c r="A164" s="5" t="s">
        <v>25</v>
      </c>
      <c r="B164" s="5" t="s">
        <v>100</v>
      </c>
      <c r="C164" s="15">
        <v>1</v>
      </c>
    </row>
    <row r="165" spans="1:3" x14ac:dyDescent="0.3">
      <c r="A165" s="5" t="s">
        <v>25</v>
      </c>
      <c r="B165" s="5" t="s">
        <v>101</v>
      </c>
      <c r="C165" s="15">
        <v>1</v>
      </c>
    </row>
    <row r="166" spans="1:3" x14ac:dyDescent="0.3">
      <c r="A166" s="5" t="s">
        <v>25</v>
      </c>
      <c r="B166" s="7" t="s">
        <v>94</v>
      </c>
      <c r="C166" s="16">
        <v>1</v>
      </c>
    </row>
    <row r="167" spans="1:3" x14ac:dyDescent="0.3">
      <c r="A167" s="5" t="s">
        <v>25</v>
      </c>
      <c r="B167" s="7" t="s">
        <v>95</v>
      </c>
      <c r="C167" s="16">
        <v>1</v>
      </c>
    </row>
    <row r="168" spans="1:3" x14ac:dyDescent="0.3">
      <c r="A168" s="5" t="s">
        <v>25</v>
      </c>
      <c r="B168" s="5" t="s">
        <v>96</v>
      </c>
      <c r="C168" s="15">
        <v>1</v>
      </c>
    </row>
    <row r="169" spans="1:3" x14ac:dyDescent="0.3">
      <c r="A169" s="5" t="s">
        <v>25</v>
      </c>
      <c r="B169" s="7" t="s">
        <v>113</v>
      </c>
      <c r="C169" s="16">
        <v>1</v>
      </c>
    </row>
    <row r="170" spans="1:3" x14ac:dyDescent="0.3">
      <c r="A170" s="5" t="s">
        <v>25</v>
      </c>
      <c r="B170" s="5" t="s">
        <v>97</v>
      </c>
      <c r="C170" s="15">
        <v>1</v>
      </c>
    </row>
    <row r="171" spans="1:3" x14ac:dyDescent="0.3">
      <c r="A171" s="5" t="s">
        <v>25</v>
      </c>
      <c r="B171" s="5" t="s">
        <v>98</v>
      </c>
      <c r="C171" s="15">
        <f>1/18000</f>
        <v>5.5555555555555558E-5</v>
      </c>
    </row>
    <row r="172" spans="1:3" x14ac:dyDescent="0.3">
      <c r="A172" s="5" t="s">
        <v>25</v>
      </c>
      <c r="B172" s="5" t="s">
        <v>126</v>
      </c>
      <c r="C172" s="15">
        <f>1/18000</f>
        <v>5.5555555555555558E-5</v>
      </c>
    </row>
    <row r="173" spans="1:3" x14ac:dyDescent="0.3">
      <c r="A173" s="7" t="s">
        <v>19</v>
      </c>
      <c r="B173" s="5" t="s">
        <v>78</v>
      </c>
      <c r="C173" s="15">
        <f>1/30000</f>
        <v>3.3333333333333335E-5</v>
      </c>
    </row>
    <row r="174" spans="1:3" x14ac:dyDescent="0.3">
      <c r="A174" s="7" t="s">
        <v>19</v>
      </c>
      <c r="B174" s="5" t="s">
        <v>79</v>
      </c>
      <c r="C174" s="15">
        <f>1/85000</f>
        <v>1.1764705882352942E-5</v>
      </c>
    </row>
    <row r="175" spans="1:3" x14ac:dyDescent="0.3">
      <c r="A175" s="7" t="s">
        <v>19</v>
      </c>
      <c r="B175" s="7" t="s">
        <v>80</v>
      </c>
      <c r="C175" s="15">
        <v>1.1111111111111112E-4</v>
      </c>
    </row>
    <row r="176" spans="1:3" x14ac:dyDescent="0.3">
      <c r="A176" s="7" t="s">
        <v>19</v>
      </c>
      <c r="B176" s="7" t="s">
        <v>81</v>
      </c>
      <c r="C176" s="15">
        <f>1/80000</f>
        <v>1.2500000000000001E-5</v>
      </c>
    </row>
    <row r="177" spans="1:3" x14ac:dyDescent="0.3">
      <c r="A177" s="7" t="s">
        <v>19</v>
      </c>
      <c r="B177" s="5" t="s">
        <v>87</v>
      </c>
      <c r="C177" s="15">
        <v>1</v>
      </c>
    </row>
    <row r="178" spans="1:3" x14ac:dyDescent="0.3">
      <c r="A178" s="7" t="s">
        <v>19</v>
      </c>
      <c r="B178" s="5" t="s">
        <v>88</v>
      </c>
      <c r="C178" s="16">
        <v>1</v>
      </c>
    </row>
    <row r="179" spans="1:3" x14ac:dyDescent="0.3">
      <c r="A179" s="7" t="s">
        <v>19</v>
      </c>
      <c r="B179" s="5" t="s">
        <v>89</v>
      </c>
      <c r="C179" s="15">
        <v>1</v>
      </c>
    </row>
    <row r="180" spans="1:3" x14ac:dyDescent="0.3">
      <c r="A180" s="7" t="s">
        <v>19</v>
      </c>
      <c r="B180" s="5" t="s">
        <v>92</v>
      </c>
      <c r="C180" s="15">
        <v>1</v>
      </c>
    </row>
    <row r="181" spans="1:3" x14ac:dyDescent="0.3">
      <c r="A181" s="7" t="s">
        <v>19</v>
      </c>
      <c r="B181" s="5" t="s">
        <v>86</v>
      </c>
      <c r="C181" s="15">
        <v>1</v>
      </c>
    </row>
    <row r="182" spans="1:3" x14ac:dyDescent="0.3">
      <c r="A182" s="7" t="s">
        <v>19</v>
      </c>
      <c r="B182" s="5" t="s">
        <v>102</v>
      </c>
      <c r="C182" s="15">
        <v>1</v>
      </c>
    </row>
    <row r="183" spans="1:3" x14ac:dyDescent="0.3">
      <c r="A183" s="7" t="s">
        <v>19</v>
      </c>
      <c r="B183" s="5" t="s">
        <v>93</v>
      </c>
      <c r="C183" s="15">
        <v>1</v>
      </c>
    </row>
    <row r="184" spans="1:3" x14ac:dyDescent="0.3">
      <c r="A184" s="7" t="s">
        <v>19</v>
      </c>
      <c r="B184" s="7" t="s">
        <v>94</v>
      </c>
      <c r="C184" s="16">
        <v>1</v>
      </c>
    </row>
    <row r="185" spans="1:3" x14ac:dyDescent="0.3">
      <c r="A185" s="7" t="s">
        <v>19</v>
      </c>
      <c r="B185" s="7" t="s">
        <v>95</v>
      </c>
      <c r="C185" s="16">
        <v>1</v>
      </c>
    </row>
    <row r="186" spans="1:3" x14ac:dyDescent="0.3">
      <c r="A186" s="7" t="s">
        <v>19</v>
      </c>
      <c r="B186" s="5" t="s">
        <v>96</v>
      </c>
      <c r="C186" s="15">
        <v>1</v>
      </c>
    </row>
    <row r="187" spans="1:3" x14ac:dyDescent="0.3">
      <c r="A187" s="7" t="s">
        <v>19</v>
      </c>
      <c r="B187" s="7" t="s">
        <v>113</v>
      </c>
      <c r="C187" s="16">
        <v>1</v>
      </c>
    </row>
    <row r="188" spans="1:3" x14ac:dyDescent="0.3">
      <c r="A188" s="7" t="s">
        <v>19</v>
      </c>
      <c r="B188" s="5" t="s">
        <v>97</v>
      </c>
      <c r="C188" s="15">
        <v>1</v>
      </c>
    </row>
    <row r="189" spans="1:3" x14ac:dyDescent="0.3">
      <c r="A189" s="7" t="s">
        <v>19</v>
      </c>
      <c r="B189" s="5" t="s">
        <v>98</v>
      </c>
      <c r="C189" s="15">
        <f>1/18000</f>
        <v>5.5555555555555558E-5</v>
      </c>
    </row>
    <row r="190" spans="1:3" x14ac:dyDescent="0.3">
      <c r="A190" s="7" t="s">
        <v>19</v>
      </c>
      <c r="B190" s="5" t="s">
        <v>83</v>
      </c>
      <c r="C190" s="15">
        <f>1/18000</f>
        <v>5.5555555555555558E-5</v>
      </c>
    </row>
    <row r="191" spans="1:3" x14ac:dyDescent="0.3">
      <c r="A191" s="7" t="s">
        <v>44</v>
      </c>
      <c r="B191" s="5" t="s">
        <v>78</v>
      </c>
      <c r="C191" s="15">
        <f>1/30000</f>
        <v>3.3333333333333335E-5</v>
      </c>
    </row>
    <row r="192" spans="1:3" x14ac:dyDescent="0.3">
      <c r="A192" s="7" t="s">
        <v>44</v>
      </c>
      <c r="B192" s="5" t="s">
        <v>79</v>
      </c>
      <c r="C192" s="15">
        <f>1/85000</f>
        <v>1.1764705882352942E-5</v>
      </c>
    </row>
    <row r="193" spans="1:3" x14ac:dyDescent="0.3">
      <c r="A193" s="7" t="s">
        <v>44</v>
      </c>
      <c r="B193" s="7" t="s">
        <v>80</v>
      </c>
      <c r="C193" s="15">
        <f>0.000111111111111111</f>
        <v>1.1111111111111099E-4</v>
      </c>
    </row>
    <row r="194" spans="1:3" x14ac:dyDescent="0.3">
      <c r="A194" s="7" t="s">
        <v>44</v>
      </c>
      <c r="B194" s="7" t="s">
        <v>81</v>
      </c>
      <c r="C194" s="15">
        <f>1/80000</f>
        <v>1.2500000000000001E-5</v>
      </c>
    </row>
    <row r="195" spans="1:3" x14ac:dyDescent="0.3">
      <c r="A195" s="7" t="s">
        <v>44</v>
      </c>
      <c r="B195" s="5" t="s">
        <v>99</v>
      </c>
      <c r="C195" s="16">
        <v>1</v>
      </c>
    </row>
    <row r="196" spans="1:3" x14ac:dyDescent="0.3">
      <c r="A196" s="7" t="s">
        <v>44</v>
      </c>
      <c r="B196" s="7" t="s">
        <v>105</v>
      </c>
      <c r="C196" s="16">
        <v>1</v>
      </c>
    </row>
    <row r="197" spans="1:3" x14ac:dyDescent="0.3">
      <c r="A197" s="7" t="s">
        <v>44</v>
      </c>
      <c r="B197" s="5" t="s">
        <v>89</v>
      </c>
      <c r="C197" s="15">
        <v>1</v>
      </c>
    </row>
    <row r="198" spans="1:3" x14ac:dyDescent="0.3">
      <c r="A198" s="7" t="s">
        <v>44</v>
      </c>
      <c r="B198" s="5" t="s">
        <v>85</v>
      </c>
      <c r="C198" s="16">
        <v>1</v>
      </c>
    </row>
    <row r="199" spans="1:3" x14ac:dyDescent="0.3">
      <c r="A199" s="7" t="s">
        <v>44</v>
      </c>
      <c r="B199" s="5" t="s">
        <v>100</v>
      </c>
      <c r="C199" s="15">
        <v>1</v>
      </c>
    </row>
    <row r="200" spans="1:3" x14ac:dyDescent="0.3">
      <c r="A200" s="7" t="s">
        <v>44</v>
      </c>
      <c r="B200" s="5" t="s">
        <v>101</v>
      </c>
      <c r="C200" s="15">
        <v>1</v>
      </c>
    </row>
    <row r="201" spans="1:3" x14ac:dyDescent="0.3">
      <c r="A201" s="7" t="s">
        <v>44</v>
      </c>
      <c r="B201" s="7" t="s">
        <v>94</v>
      </c>
      <c r="C201" s="16">
        <v>1</v>
      </c>
    </row>
    <row r="202" spans="1:3" x14ac:dyDescent="0.3">
      <c r="A202" s="7" t="s">
        <v>44</v>
      </c>
      <c r="B202" s="7" t="s">
        <v>95</v>
      </c>
      <c r="C202" s="16">
        <v>1</v>
      </c>
    </row>
    <row r="203" spans="1:3" x14ac:dyDescent="0.3">
      <c r="A203" s="7" t="s">
        <v>44</v>
      </c>
      <c r="B203" s="5" t="s">
        <v>96</v>
      </c>
      <c r="C203" s="15">
        <v>1</v>
      </c>
    </row>
    <row r="204" spans="1:3" x14ac:dyDescent="0.3">
      <c r="A204" s="7" t="s">
        <v>44</v>
      </c>
      <c r="B204" s="7" t="s">
        <v>113</v>
      </c>
      <c r="C204" s="16">
        <v>1</v>
      </c>
    </row>
    <row r="205" spans="1:3" x14ac:dyDescent="0.3">
      <c r="A205" s="7" t="s">
        <v>44</v>
      </c>
      <c r="B205" s="5" t="s">
        <v>97</v>
      </c>
      <c r="C205" s="15">
        <v>1</v>
      </c>
    </row>
    <row r="206" spans="1:3" x14ac:dyDescent="0.3">
      <c r="A206" s="7" t="s">
        <v>44</v>
      </c>
      <c r="B206" s="5" t="s">
        <v>98</v>
      </c>
      <c r="C206" s="15">
        <f>1/18000</f>
        <v>5.5555555555555558E-5</v>
      </c>
    </row>
    <row r="207" spans="1:3" x14ac:dyDescent="0.3">
      <c r="A207" s="7" t="s">
        <v>44</v>
      </c>
      <c r="B207" s="5" t="s">
        <v>83</v>
      </c>
      <c r="C207" s="15">
        <f>1/18000</f>
        <v>5.5555555555555558E-5</v>
      </c>
    </row>
    <row r="208" spans="1:3" x14ac:dyDescent="0.3">
      <c r="A208" s="7" t="s">
        <v>24</v>
      </c>
      <c r="B208" s="5" t="s">
        <v>78</v>
      </c>
      <c r="C208" s="15">
        <f>1/30000</f>
        <v>3.3333333333333335E-5</v>
      </c>
    </row>
    <row r="209" spans="1:3" x14ac:dyDescent="0.3">
      <c r="A209" s="7" t="s">
        <v>24</v>
      </c>
      <c r="B209" s="5" t="s">
        <v>79</v>
      </c>
      <c r="C209" s="15">
        <f>1/85000</f>
        <v>1.1764705882352942E-5</v>
      </c>
    </row>
    <row r="210" spans="1:3" x14ac:dyDescent="0.3">
      <c r="A210" s="7" t="s">
        <v>24</v>
      </c>
      <c r="B210" s="7" t="s">
        <v>80</v>
      </c>
      <c r="C210" s="15">
        <v>1.1111111111111112E-4</v>
      </c>
    </row>
    <row r="211" spans="1:3" x14ac:dyDescent="0.3">
      <c r="A211" s="7" t="s">
        <v>24</v>
      </c>
      <c r="B211" s="7" t="s">
        <v>81</v>
      </c>
      <c r="C211" s="15">
        <f>1/80000</f>
        <v>1.2500000000000001E-5</v>
      </c>
    </row>
    <row r="212" spans="1:3" x14ac:dyDescent="0.3">
      <c r="A212" s="7" t="s">
        <v>24</v>
      </c>
      <c r="B212" s="5" t="s">
        <v>99</v>
      </c>
      <c r="C212" s="16">
        <v>1</v>
      </c>
    </row>
    <row r="213" spans="1:3" x14ac:dyDescent="0.3">
      <c r="A213" s="7" t="s">
        <v>24</v>
      </c>
      <c r="B213" s="5" t="s">
        <v>105</v>
      </c>
      <c r="C213" s="16">
        <v>1</v>
      </c>
    </row>
    <row r="214" spans="1:3" x14ac:dyDescent="0.3">
      <c r="A214" s="7" t="s">
        <v>24</v>
      </c>
      <c r="B214" s="5" t="s">
        <v>89</v>
      </c>
      <c r="C214" s="15">
        <v>1</v>
      </c>
    </row>
    <row r="215" spans="1:3" x14ac:dyDescent="0.3">
      <c r="A215" s="7" t="s">
        <v>24</v>
      </c>
      <c r="B215" s="5" t="s">
        <v>106</v>
      </c>
      <c r="C215" s="16">
        <v>1</v>
      </c>
    </row>
    <row r="216" spans="1:3" x14ac:dyDescent="0.3">
      <c r="A216" s="7" t="s">
        <v>24</v>
      </c>
      <c r="B216" s="5" t="s">
        <v>107</v>
      </c>
      <c r="C216" s="16">
        <v>1</v>
      </c>
    </row>
    <row r="217" spans="1:3" x14ac:dyDescent="0.3">
      <c r="A217" s="7" t="s">
        <v>24</v>
      </c>
      <c r="B217" s="5" t="s">
        <v>108</v>
      </c>
      <c r="C217" s="15">
        <v>3</v>
      </c>
    </row>
    <row r="218" spans="1:3" x14ac:dyDescent="0.3">
      <c r="A218" s="7" t="s">
        <v>24</v>
      </c>
      <c r="B218" s="5" t="s">
        <v>109</v>
      </c>
      <c r="C218" s="15">
        <v>3</v>
      </c>
    </row>
    <row r="219" spans="1:3" x14ac:dyDescent="0.3">
      <c r="A219" s="7" t="s">
        <v>24</v>
      </c>
      <c r="B219" s="5" t="s">
        <v>102</v>
      </c>
      <c r="C219" s="15">
        <v>1</v>
      </c>
    </row>
    <row r="220" spans="1:3" x14ac:dyDescent="0.3">
      <c r="A220" s="7" t="s">
        <v>24</v>
      </c>
      <c r="B220" s="5" t="s">
        <v>100</v>
      </c>
      <c r="C220" s="15">
        <v>1</v>
      </c>
    </row>
    <row r="221" spans="1:3" x14ac:dyDescent="0.3">
      <c r="A221" s="7" t="s">
        <v>24</v>
      </c>
      <c r="B221" s="5" t="s">
        <v>101</v>
      </c>
      <c r="C221" s="15">
        <v>1</v>
      </c>
    </row>
    <row r="222" spans="1:3" x14ac:dyDescent="0.3">
      <c r="A222" s="7" t="s">
        <v>24</v>
      </c>
      <c r="B222" s="7" t="s">
        <v>94</v>
      </c>
      <c r="C222" s="16">
        <v>1</v>
      </c>
    </row>
    <row r="223" spans="1:3" x14ac:dyDescent="0.3">
      <c r="A223" s="7" t="s">
        <v>24</v>
      </c>
      <c r="B223" s="7" t="s">
        <v>95</v>
      </c>
      <c r="C223" s="16">
        <v>1</v>
      </c>
    </row>
    <row r="224" spans="1:3" x14ac:dyDescent="0.3">
      <c r="A224" s="7" t="s">
        <v>24</v>
      </c>
      <c r="B224" s="5" t="s">
        <v>96</v>
      </c>
      <c r="C224" s="15">
        <v>1</v>
      </c>
    </row>
    <row r="225" spans="1:3" x14ac:dyDescent="0.3">
      <c r="A225" s="7" t="s">
        <v>24</v>
      </c>
      <c r="B225" s="7" t="s">
        <v>113</v>
      </c>
      <c r="C225" s="16">
        <v>1</v>
      </c>
    </row>
    <row r="226" spans="1:3" x14ac:dyDescent="0.3">
      <c r="A226" s="7" t="s">
        <v>24</v>
      </c>
      <c r="B226" s="5" t="s">
        <v>97</v>
      </c>
      <c r="C226" s="15">
        <v>1</v>
      </c>
    </row>
    <row r="227" spans="1:3" x14ac:dyDescent="0.3">
      <c r="A227" s="7" t="s">
        <v>24</v>
      </c>
      <c r="B227" s="5" t="s">
        <v>98</v>
      </c>
      <c r="C227" s="15">
        <f>1/18000</f>
        <v>5.5555555555555558E-5</v>
      </c>
    </row>
    <row r="228" spans="1:3" x14ac:dyDescent="0.3">
      <c r="A228" s="7" t="s">
        <v>24</v>
      </c>
      <c r="B228" s="5" t="s">
        <v>83</v>
      </c>
      <c r="C228" s="15">
        <f>1/18000</f>
        <v>5.5555555555555558E-5</v>
      </c>
    </row>
    <row r="229" spans="1:3" x14ac:dyDescent="0.3">
      <c r="A229" s="2" t="s">
        <v>22</v>
      </c>
      <c r="B229" s="3" t="s">
        <v>129</v>
      </c>
      <c r="C229" s="13">
        <v>1</v>
      </c>
    </row>
    <row r="230" spans="1:3" x14ac:dyDescent="0.3">
      <c r="A230" s="2" t="s">
        <v>22</v>
      </c>
      <c r="B230" s="3" t="s">
        <v>130</v>
      </c>
      <c r="C230" s="13">
        <v>2</v>
      </c>
    </row>
    <row r="231" spans="1:3" x14ac:dyDescent="0.3">
      <c r="A231" s="2" t="s">
        <v>22</v>
      </c>
      <c r="B231" s="3" t="s">
        <v>133</v>
      </c>
      <c r="C231" s="13">
        <v>1</v>
      </c>
    </row>
    <row r="232" spans="1:3" x14ac:dyDescent="0.3">
      <c r="A232" s="2" t="s">
        <v>22</v>
      </c>
      <c r="B232" s="3" t="s">
        <v>134</v>
      </c>
      <c r="C232" s="13">
        <v>1</v>
      </c>
    </row>
    <row r="233" spans="1:3" x14ac:dyDescent="0.3">
      <c r="A233" s="2" t="s">
        <v>22</v>
      </c>
      <c r="B233" s="3" t="s">
        <v>131</v>
      </c>
      <c r="C233" s="13">
        <v>2</v>
      </c>
    </row>
    <row r="234" spans="1:3" x14ac:dyDescent="0.3">
      <c r="A234" s="2" t="s">
        <v>22</v>
      </c>
      <c r="B234" s="3" t="s">
        <v>135</v>
      </c>
      <c r="C234" s="13">
        <v>1</v>
      </c>
    </row>
    <row r="235" spans="1:3" x14ac:dyDescent="0.3">
      <c r="A235" s="2" t="s">
        <v>22</v>
      </c>
      <c r="B235" s="3" t="s">
        <v>132</v>
      </c>
      <c r="C235" s="13">
        <v>1</v>
      </c>
    </row>
    <row r="236" spans="1:3" x14ac:dyDescent="0.3">
      <c r="A236" s="2" t="s">
        <v>22</v>
      </c>
      <c r="B236" s="4" t="s">
        <v>98</v>
      </c>
      <c r="C236" s="17">
        <v>5.5555555555555558E-5</v>
      </c>
    </row>
    <row r="237" spans="1:3" x14ac:dyDescent="0.3">
      <c r="A237" s="2" t="s">
        <v>22</v>
      </c>
      <c r="B237" s="4" t="s">
        <v>83</v>
      </c>
      <c r="C237" s="17">
        <f>1/18000</f>
        <v>5.5555555555555558E-5</v>
      </c>
    </row>
    <row r="238" spans="1:3" x14ac:dyDescent="0.3">
      <c r="A238" s="2" t="s">
        <v>12</v>
      </c>
      <c r="B238" s="3" t="s">
        <v>136</v>
      </c>
      <c r="C238" s="18">
        <v>2</v>
      </c>
    </row>
    <row r="239" spans="1:3" x14ac:dyDescent="0.3">
      <c r="A239" s="2" t="s">
        <v>12</v>
      </c>
      <c r="B239" s="3" t="s">
        <v>84</v>
      </c>
      <c r="C239" s="18">
        <v>1</v>
      </c>
    </row>
    <row r="240" spans="1:3" x14ac:dyDescent="0.3">
      <c r="A240" s="2" t="s">
        <v>12</v>
      </c>
      <c r="B240" s="3" t="s">
        <v>141</v>
      </c>
      <c r="C240" s="18">
        <v>1</v>
      </c>
    </row>
    <row r="241" spans="1:3" x14ac:dyDescent="0.3">
      <c r="A241" s="2" t="s">
        <v>12</v>
      </c>
      <c r="B241" s="3" t="s">
        <v>138</v>
      </c>
      <c r="C241" s="18">
        <v>1</v>
      </c>
    </row>
    <row r="242" spans="1:3" x14ac:dyDescent="0.3">
      <c r="A242" s="2" t="s">
        <v>12</v>
      </c>
      <c r="B242" s="3" t="s">
        <v>142</v>
      </c>
      <c r="C242" s="18">
        <v>1</v>
      </c>
    </row>
    <row r="243" spans="1:3" x14ac:dyDescent="0.3">
      <c r="A243" s="2" t="s">
        <v>12</v>
      </c>
      <c r="B243" s="3" t="s">
        <v>139</v>
      </c>
      <c r="C243" s="18">
        <v>2</v>
      </c>
    </row>
    <row r="244" spans="1:3" x14ac:dyDescent="0.3">
      <c r="A244" s="2" t="s">
        <v>12</v>
      </c>
      <c r="B244" s="4" t="s">
        <v>98</v>
      </c>
      <c r="C244" s="17">
        <v>5.5555555555555558E-5</v>
      </c>
    </row>
    <row r="245" spans="1:3" x14ac:dyDescent="0.3">
      <c r="A245" s="2" t="s">
        <v>12</v>
      </c>
      <c r="B245" s="4" t="s">
        <v>83</v>
      </c>
      <c r="C245" s="17">
        <v>5.5555555555555558E-5</v>
      </c>
    </row>
    <row r="246" spans="1:3" x14ac:dyDescent="0.3">
      <c r="A246" s="2" t="s">
        <v>174</v>
      </c>
      <c r="B246" s="3" t="s">
        <v>136</v>
      </c>
      <c r="C246" s="18">
        <v>2</v>
      </c>
    </row>
    <row r="247" spans="1:3" x14ac:dyDescent="0.3">
      <c r="A247" s="2" t="s">
        <v>174</v>
      </c>
      <c r="B247" s="3" t="s">
        <v>84</v>
      </c>
      <c r="C247" s="18">
        <v>1</v>
      </c>
    </row>
    <row r="248" spans="1:3" x14ac:dyDescent="0.3">
      <c r="A248" s="2" t="s">
        <v>174</v>
      </c>
      <c r="B248" s="3" t="s">
        <v>141</v>
      </c>
      <c r="C248" s="18">
        <v>1</v>
      </c>
    </row>
    <row r="249" spans="1:3" x14ac:dyDescent="0.3">
      <c r="A249" s="2" t="s">
        <v>174</v>
      </c>
      <c r="B249" s="3" t="s">
        <v>138</v>
      </c>
      <c r="C249" s="18">
        <v>1</v>
      </c>
    </row>
    <row r="250" spans="1:3" x14ac:dyDescent="0.3">
      <c r="A250" s="2" t="s">
        <v>174</v>
      </c>
      <c r="B250" s="3" t="s">
        <v>142</v>
      </c>
      <c r="C250" s="18">
        <v>1</v>
      </c>
    </row>
    <row r="251" spans="1:3" x14ac:dyDescent="0.3">
      <c r="A251" s="2" t="s">
        <v>174</v>
      </c>
      <c r="B251" s="3" t="s">
        <v>143</v>
      </c>
      <c r="C251" s="18">
        <v>2</v>
      </c>
    </row>
    <row r="252" spans="1:3" x14ac:dyDescent="0.3">
      <c r="A252" s="2" t="s">
        <v>174</v>
      </c>
      <c r="B252" s="3" t="s">
        <v>119</v>
      </c>
      <c r="C252" s="18">
        <v>2</v>
      </c>
    </row>
    <row r="253" spans="1:3" x14ac:dyDescent="0.3">
      <c r="A253" s="2" t="s">
        <v>174</v>
      </c>
      <c r="B253" s="4" t="s">
        <v>98</v>
      </c>
      <c r="C253" s="17">
        <v>5.5555555555555558E-5</v>
      </c>
    </row>
    <row r="254" spans="1:3" x14ac:dyDescent="0.3">
      <c r="A254" s="2" t="s">
        <v>174</v>
      </c>
      <c r="B254" s="4" t="s">
        <v>83</v>
      </c>
      <c r="C254" s="17">
        <v>5.5555555555555558E-5</v>
      </c>
    </row>
    <row r="255" spans="1:3" x14ac:dyDescent="0.3">
      <c r="A255" s="2" t="s">
        <v>10</v>
      </c>
      <c r="B255" s="3" t="s">
        <v>136</v>
      </c>
      <c r="C255" s="13">
        <v>1</v>
      </c>
    </row>
    <row r="256" spans="1:3" x14ac:dyDescent="0.3">
      <c r="A256" s="2" t="s">
        <v>10</v>
      </c>
      <c r="B256" s="3" t="s">
        <v>171</v>
      </c>
      <c r="C256" s="13">
        <v>1</v>
      </c>
    </row>
    <row r="257" spans="1:3" x14ac:dyDescent="0.3">
      <c r="A257" s="2" t="s">
        <v>10</v>
      </c>
      <c r="B257" s="3" t="s">
        <v>182</v>
      </c>
      <c r="C257" s="13">
        <v>1</v>
      </c>
    </row>
    <row r="258" spans="1:3" x14ac:dyDescent="0.3">
      <c r="A258" s="2" t="s">
        <v>10</v>
      </c>
      <c r="B258" s="3" t="s">
        <v>183</v>
      </c>
      <c r="C258" s="13">
        <v>1</v>
      </c>
    </row>
    <row r="259" spans="1:3" x14ac:dyDescent="0.3">
      <c r="A259" s="2" t="s">
        <v>10</v>
      </c>
      <c r="B259" s="3" t="s">
        <v>128</v>
      </c>
      <c r="C259" s="13">
        <v>1</v>
      </c>
    </row>
    <row r="260" spans="1:3" x14ac:dyDescent="0.3">
      <c r="A260" s="2" t="s">
        <v>10</v>
      </c>
      <c r="B260" s="3" t="s">
        <v>127</v>
      </c>
      <c r="C260" s="13">
        <v>1</v>
      </c>
    </row>
    <row r="261" spans="1:3" x14ac:dyDescent="0.3">
      <c r="A261" s="2" t="s">
        <v>10</v>
      </c>
      <c r="B261" s="3" t="s">
        <v>98</v>
      </c>
      <c r="C261" s="13">
        <f>1/18000</f>
        <v>5.5555555555555558E-5</v>
      </c>
    </row>
    <row r="262" spans="1:3" x14ac:dyDescent="0.3">
      <c r="A262" s="2" t="s">
        <v>10</v>
      </c>
      <c r="B262" s="3" t="s">
        <v>83</v>
      </c>
      <c r="C262" s="13">
        <f>1/18000</f>
        <v>5.5555555555555558E-5</v>
      </c>
    </row>
    <row r="263" spans="1:3" x14ac:dyDescent="0.3">
      <c r="A263" s="2" t="s">
        <v>5</v>
      </c>
      <c r="B263" s="3" t="s">
        <v>136</v>
      </c>
      <c r="C263" s="13">
        <v>1</v>
      </c>
    </row>
    <row r="264" spans="1:3" x14ac:dyDescent="0.3">
      <c r="A264" s="2" t="s">
        <v>5</v>
      </c>
      <c r="B264" s="3" t="s">
        <v>171</v>
      </c>
      <c r="C264" s="13">
        <v>1</v>
      </c>
    </row>
    <row r="265" spans="1:3" x14ac:dyDescent="0.3">
      <c r="A265" s="2" t="s">
        <v>5</v>
      </c>
      <c r="B265" s="3" t="s">
        <v>182</v>
      </c>
      <c r="C265" s="13">
        <v>1</v>
      </c>
    </row>
    <row r="266" spans="1:3" x14ac:dyDescent="0.3">
      <c r="A266" s="2" t="s">
        <v>5</v>
      </c>
      <c r="B266" s="3" t="s">
        <v>183</v>
      </c>
      <c r="C266" s="13">
        <v>1</v>
      </c>
    </row>
    <row r="267" spans="1:3" x14ac:dyDescent="0.3">
      <c r="A267" s="2" t="s">
        <v>5</v>
      </c>
      <c r="B267" s="3" t="s">
        <v>128</v>
      </c>
      <c r="C267" s="13">
        <v>1</v>
      </c>
    </row>
    <row r="268" spans="1:3" x14ac:dyDescent="0.3">
      <c r="A268" s="2" t="s">
        <v>5</v>
      </c>
      <c r="B268" s="3" t="s">
        <v>184</v>
      </c>
      <c r="C268" s="13">
        <v>1</v>
      </c>
    </row>
    <row r="269" spans="1:3" x14ac:dyDescent="0.3">
      <c r="A269" s="2" t="s">
        <v>5</v>
      </c>
      <c r="B269" s="3" t="s">
        <v>98</v>
      </c>
      <c r="C269" s="13">
        <f>1/18000</f>
        <v>5.5555555555555558E-5</v>
      </c>
    </row>
    <row r="270" spans="1:3" x14ac:dyDescent="0.3">
      <c r="A270" s="2" t="s">
        <v>5</v>
      </c>
      <c r="B270" s="3" t="s">
        <v>83</v>
      </c>
      <c r="C270" s="13">
        <f>1/18000</f>
        <v>5.5555555555555558E-5</v>
      </c>
    </row>
    <row r="271" spans="1:3" x14ac:dyDescent="0.3">
      <c r="A271" s="2" t="s">
        <v>6</v>
      </c>
      <c r="B271" s="3" t="s">
        <v>136</v>
      </c>
      <c r="C271" s="13">
        <v>1</v>
      </c>
    </row>
    <row r="272" spans="1:3" x14ac:dyDescent="0.3">
      <c r="A272" s="2" t="s">
        <v>6</v>
      </c>
      <c r="B272" s="3" t="s">
        <v>89</v>
      </c>
      <c r="C272" s="13">
        <v>1</v>
      </c>
    </row>
    <row r="273" spans="1:3" x14ac:dyDescent="0.3">
      <c r="A273" s="2" t="s">
        <v>6</v>
      </c>
      <c r="B273" s="2" t="s">
        <v>127</v>
      </c>
      <c r="C273" s="13">
        <v>1</v>
      </c>
    </row>
    <row r="274" spans="1:3" x14ac:dyDescent="0.3">
      <c r="A274" s="2" t="s">
        <v>6</v>
      </c>
      <c r="B274" s="3" t="s">
        <v>128</v>
      </c>
      <c r="C274" s="13">
        <v>1</v>
      </c>
    </row>
    <row r="275" spans="1:3" x14ac:dyDescent="0.3">
      <c r="A275" s="2" t="s">
        <v>6</v>
      </c>
      <c r="B275" s="3" t="s">
        <v>88</v>
      </c>
      <c r="C275" s="13">
        <v>1</v>
      </c>
    </row>
    <row r="276" spans="1:3" x14ac:dyDescent="0.3">
      <c r="A276" s="2" t="s">
        <v>6</v>
      </c>
      <c r="B276" s="3" t="s">
        <v>98</v>
      </c>
      <c r="C276" s="13">
        <f>1/18000</f>
        <v>5.5555555555555558E-5</v>
      </c>
    </row>
    <row r="277" spans="1:3" x14ac:dyDescent="0.3">
      <c r="A277" s="2" t="s">
        <v>6</v>
      </c>
      <c r="B277" s="3" t="s">
        <v>83</v>
      </c>
      <c r="C277" s="13">
        <f>1/18000</f>
        <v>5.5555555555555558E-5</v>
      </c>
    </row>
    <row r="278" spans="1:3" x14ac:dyDescent="0.3">
      <c r="A278" s="2" t="s">
        <v>21</v>
      </c>
      <c r="B278" s="3" t="s">
        <v>178</v>
      </c>
      <c r="C278" s="13">
        <v>1</v>
      </c>
    </row>
    <row r="279" spans="1:3" x14ac:dyDescent="0.3">
      <c r="A279" s="2" t="s">
        <v>21</v>
      </c>
      <c r="B279" s="3" t="s">
        <v>175</v>
      </c>
      <c r="C279" s="13">
        <v>1</v>
      </c>
    </row>
    <row r="280" spans="1:3" x14ac:dyDescent="0.3">
      <c r="A280" s="2" t="s">
        <v>21</v>
      </c>
      <c r="B280" s="3" t="s">
        <v>178</v>
      </c>
      <c r="C280" s="13">
        <v>1</v>
      </c>
    </row>
    <row r="281" spans="1:3" x14ac:dyDescent="0.3">
      <c r="A281" s="2" t="s">
        <v>21</v>
      </c>
      <c r="B281" s="3" t="s">
        <v>179</v>
      </c>
      <c r="C281" s="13">
        <v>1</v>
      </c>
    </row>
    <row r="282" spans="1:3" x14ac:dyDescent="0.3">
      <c r="A282" s="2" t="s">
        <v>21</v>
      </c>
      <c r="B282" s="3" t="s">
        <v>99</v>
      </c>
      <c r="C282" s="13">
        <v>1</v>
      </c>
    </row>
    <row r="283" spans="1:3" x14ac:dyDescent="0.3">
      <c r="A283" s="2" t="s">
        <v>21</v>
      </c>
      <c r="B283" s="4" t="s">
        <v>176</v>
      </c>
      <c r="C283" s="17">
        <v>1</v>
      </c>
    </row>
    <row r="284" spans="1:3" x14ac:dyDescent="0.3">
      <c r="A284" s="2" t="s">
        <v>21</v>
      </c>
      <c r="B284" s="4" t="s">
        <v>177</v>
      </c>
      <c r="C284" s="17">
        <v>0.02</v>
      </c>
    </row>
    <row r="285" spans="1:3" x14ac:dyDescent="0.3">
      <c r="A285" s="2" t="s">
        <v>21</v>
      </c>
      <c r="B285" s="4" t="s">
        <v>98</v>
      </c>
      <c r="C285" s="17">
        <f>1/18000</f>
        <v>5.5555555555555558E-5</v>
      </c>
    </row>
    <row r="286" spans="1:3" x14ac:dyDescent="0.3">
      <c r="A286" s="2" t="s">
        <v>21</v>
      </c>
      <c r="B286" s="4" t="s">
        <v>83</v>
      </c>
      <c r="C286" s="17">
        <f>1/5000</f>
        <v>2.0000000000000001E-4</v>
      </c>
    </row>
    <row r="287" spans="1:3" x14ac:dyDescent="0.3">
      <c r="A287" s="2" t="s">
        <v>52</v>
      </c>
      <c r="B287" s="3" t="s">
        <v>136</v>
      </c>
      <c r="C287" s="18">
        <v>1</v>
      </c>
    </row>
    <row r="288" spans="1:3" x14ac:dyDescent="0.3">
      <c r="A288" s="2" t="s">
        <v>52</v>
      </c>
      <c r="B288" s="3" t="s">
        <v>84</v>
      </c>
      <c r="C288" s="18">
        <v>1</v>
      </c>
    </row>
    <row r="289" spans="1:3" x14ac:dyDescent="0.3">
      <c r="A289" s="2" t="s">
        <v>52</v>
      </c>
      <c r="B289" s="3" t="s">
        <v>137</v>
      </c>
      <c r="C289" s="18">
        <v>1</v>
      </c>
    </row>
    <row r="290" spans="1:3" x14ac:dyDescent="0.3">
      <c r="A290" s="2" t="s">
        <v>52</v>
      </c>
      <c r="B290" s="3" t="s">
        <v>138</v>
      </c>
      <c r="C290" s="18">
        <v>1</v>
      </c>
    </row>
    <row r="291" spans="1:3" x14ac:dyDescent="0.3">
      <c r="A291" s="2" t="s">
        <v>52</v>
      </c>
      <c r="B291" s="3" t="s">
        <v>139</v>
      </c>
      <c r="C291" s="18">
        <v>1</v>
      </c>
    </row>
    <row r="292" spans="1:3" x14ac:dyDescent="0.3">
      <c r="A292" s="2" t="s">
        <v>52</v>
      </c>
      <c r="B292" s="4" t="s">
        <v>98</v>
      </c>
      <c r="C292" s="17">
        <f>1/18000</f>
        <v>5.5555555555555558E-5</v>
      </c>
    </row>
    <row r="293" spans="1:3" x14ac:dyDescent="0.3">
      <c r="A293" s="2" t="s">
        <v>52</v>
      </c>
      <c r="B293" s="2" t="s">
        <v>114</v>
      </c>
      <c r="C293" s="17">
        <f>1/18000</f>
        <v>5.5555555555555558E-5</v>
      </c>
    </row>
    <row r="294" spans="1:3" x14ac:dyDescent="0.3">
      <c r="A294" s="2" t="s">
        <v>53</v>
      </c>
      <c r="B294" s="3" t="s">
        <v>136</v>
      </c>
      <c r="C294" s="18">
        <v>1</v>
      </c>
    </row>
    <row r="295" spans="1:3" x14ac:dyDescent="0.3">
      <c r="A295" s="2" t="s">
        <v>53</v>
      </c>
      <c r="B295" s="3" t="s">
        <v>84</v>
      </c>
      <c r="C295" s="18">
        <v>1</v>
      </c>
    </row>
    <row r="296" spans="1:3" x14ac:dyDescent="0.3">
      <c r="A296" s="2" t="s">
        <v>53</v>
      </c>
      <c r="B296" s="3" t="s">
        <v>137</v>
      </c>
      <c r="C296" s="18">
        <v>1</v>
      </c>
    </row>
    <row r="297" spans="1:3" x14ac:dyDescent="0.3">
      <c r="A297" s="2" t="s">
        <v>53</v>
      </c>
      <c r="B297" s="3" t="s">
        <v>138</v>
      </c>
      <c r="C297" s="18">
        <v>1</v>
      </c>
    </row>
    <row r="298" spans="1:3" x14ac:dyDescent="0.3">
      <c r="A298" s="2" t="s">
        <v>53</v>
      </c>
      <c r="B298" s="3" t="s">
        <v>139</v>
      </c>
      <c r="C298" s="18">
        <v>1</v>
      </c>
    </row>
    <row r="299" spans="1:3" x14ac:dyDescent="0.3">
      <c r="A299" s="2" t="s">
        <v>53</v>
      </c>
      <c r="B299" s="4" t="s">
        <v>98</v>
      </c>
      <c r="C299" s="17">
        <v>5.5555555555555558E-5</v>
      </c>
    </row>
    <row r="300" spans="1:3" x14ac:dyDescent="0.3">
      <c r="A300" s="2" t="s">
        <v>53</v>
      </c>
      <c r="B300" s="2" t="s">
        <v>114</v>
      </c>
      <c r="C300" s="17">
        <v>5.5555555555555558E-5</v>
      </c>
    </row>
    <row r="301" spans="1:3" x14ac:dyDescent="0.3">
      <c r="A301" s="2" t="s">
        <v>54</v>
      </c>
      <c r="B301" s="3" t="s">
        <v>136</v>
      </c>
      <c r="C301" s="18">
        <v>2</v>
      </c>
    </row>
    <row r="302" spans="1:3" x14ac:dyDescent="0.3">
      <c r="A302" s="2" t="s">
        <v>54</v>
      </c>
      <c r="B302" s="3" t="s">
        <v>84</v>
      </c>
      <c r="C302" s="18">
        <v>1</v>
      </c>
    </row>
    <row r="303" spans="1:3" x14ac:dyDescent="0.3">
      <c r="A303" s="2" t="s">
        <v>54</v>
      </c>
      <c r="B303" s="3" t="s">
        <v>141</v>
      </c>
      <c r="C303" s="18">
        <v>1</v>
      </c>
    </row>
    <row r="304" spans="1:3" x14ac:dyDescent="0.3">
      <c r="A304" s="2" t="s">
        <v>54</v>
      </c>
      <c r="B304" s="3" t="s">
        <v>138</v>
      </c>
      <c r="C304" s="18">
        <v>1</v>
      </c>
    </row>
    <row r="305" spans="1:3" x14ac:dyDescent="0.3">
      <c r="A305" s="2" t="s">
        <v>54</v>
      </c>
      <c r="B305" s="3" t="s">
        <v>142</v>
      </c>
      <c r="C305" s="18">
        <v>1</v>
      </c>
    </row>
    <row r="306" spans="1:3" x14ac:dyDescent="0.3">
      <c r="A306" s="2" t="s">
        <v>54</v>
      </c>
      <c r="B306" s="3" t="s">
        <v>139</v>
      </c>
      <c r="C306" s="18">
        <v>2</v>
      </c>
    </row>
    <row r="307" spans="1:3" x14ac:dyDescent="0.3">
      <c r="A307" s="2" t="s">
        <v>54</v>
      </c>
      <c r="B307" s="4" t="s">
        <v>98</v>
      </c>
      <c r="C307" s="17">
        <v>5.5555555555555558E-5</v>
      </c>
    </row>
    <row r="308" spans="1:3" x14ac:dyDescent="0.3">
      <c r="A308" s="2" t="s">
        <v>54</v>
      </c>
      <c r="B308" s="2" t="s">
        <v>114</v>
      </c>
      <c r="C308" s="17">
        <v>5.5555555555555558E-5</v>
      </c>
    </row>
    <row r="309" spans="1:3" x14ac:dyDescent="0.3">
      <c r="A309" s="2" t="s">
        <v>67</v>
      </c>
      <c r="B309" s="3" t="s">
        <v>136</v>
      </c>
      <c r="C309" s="18">
        <v>2</v>
      </c>
    </row>
    <row r="310" spans="1:3" x14ac:dyDescent="0.3">
      <c r="A310" s="2" t="s">
        <v>67</v>
      </c>
      <c r="B310" s="3" t="s">
        <v>84</v>
      </c>
      <c r="C310" s="18">
        <v>1</v>
      </c>
    </row>
    <row r="311" spans="1:3" x14ac:dyDescent="0.3">
      <c r="A311" s="2" t="s">
        <v>67</v>
      </c>
      <c r="B311" s="3" t="s">
        <v>141</v>
      </c>
      <c r="C311" s="18">
        <v>1</v>
      </c>
    </row>
    <row r="312" spans="1:3" x14ac:dyDescent="0.3">
      <c r="A312" s="2" t="s">
        <v>67</v>
      </c>
      <c r="B312" s="3" t="s">
        <v>138</v>
      </c>
      <c r="C312" s="18">
        <v>1</v>
      </c>
    </row>
    <row r="313" spans="1:3" x14ac:dyDescent="0.3">
      <c r="A313" s="2" t="s">
        <v>67</v>
      </c>
      <c r="B313" s="3" t="s">
        <v>142</v>
      </c>
      <c r="C313" s="18">
        <v>1</v>
      </c>
    </row>
    <row r="314" spans="1:3" x14ac:dyDescent="0.3">
      <c r="A314" s="2" t="s">
        <v>67</v>
      </c>
      <c r="B314" s="3" t="s">
        <v>143</v>
      </c>
      <c r="C314" s="18">
        <v>2</v>
      </c>
    </row>
    <row r="315" spans="1:3" x14ac:dyDescent="0.3">
      <c r="A315" s="2" t="s">
        <v>67</v>
      </c>
      <c r="B315" s="3" t="s">
        <v>119</v>
      </c>
      <c r="C315" s="18">
        <v>2</v>
      </c>
    </row>
    <row r="316" spans="1:3" x14ac:dyDescent="0.3">
      <c r="A316" s="2" t="s">
        <v>67</v>
      </c>
      <c r="B316" s="4" t="s">
        <v>98</v>
      </c>
      <c r="C316" s="17">
        <f>1/18000</f>
        <v>5.5555555555555558E-5</v>
      </c>
    </row>
    <row r="317" spans="1:3" x14ac:dyDescent="0.3">
      <c r="A317" s="2" t="s">
        <v>67</v>
      </c>
      <c r="B317" s="2" t="s">
        <v>114</v>
      </c>
      <c r="C317" s="17">
        <f>1/18000</f>
        <v>5.5555555555555558E-5</v>
      </c>
    </row>
    <row r="318" spans="1:3" x14ac:dyDescent="0.3">
      <c r="A318" s="2" t="s">
        <v>49</v>
      </c>
      <c r="B318" s="3" t="s">
        <v>136</v>
      </c>
      <c r="C318" s="18">
        <v>2</v>
      </c>
    </row>
    <row r="319" spans="1:3" x14ac:dyDescent="0.3">
      <c r="A319" s="2" t="s">
        <v>49</v>
      </c>
      <c r="B319" s="3" t="s">
        <v>84</v>
      </c>
      <c r="C319" s="18">
        <v>1</v>
      </c>
    </row>
    <row r="320" spans="1:3" x14ac:dyDescent="0.3">
      <c r="A320" s="2" t="s">
        <v>49</v>
      </c>
      <c r="B320" s="3" t="s">
        <v>141</v>
      </c>
      <c r="C320" s="18">
        <v>1</v>
      </c>
    </row>
    <row r="321" spans="1:3" x14ac:dyDescent="0.3">
      <c r="A321" s="2" t="s">
        <v>49</v>
      </c>
      <c r="B321" s="3" t="s">
        <v>138</v>
      </c>
      <c r="C321" s="18">
        <v>1</v>
      </c>
    </row>
    <row r="322" spans="1:3" x14ac:dyDescent="0.3">
      <c r="A322" s="2" t="s">
        <v>49</v>
      </c>
      <c r="B322" s="3" t="s">
        <v>142</v>
      </c>
      <c r="C322" s="18">
        <v>1</v>
      </c>
    </row>
    <row r="323" spans="1:3" x14ac:dyDescent="0.3">
      <c r="A323" s="2" t="s">
        <v>49</v>
      </c>
      <c r="B323" s="3" t="s">
        <v>143</v>
      </c>
      <c r="C323" s="18">
        <v>2</v>
      </c>
    </row>
    <row r="324" spans="1:3" x14ac:dyDescent="0.3">
      <c r="A324" s="2" t="s">
        <v>49</v>
      </c>
      <c r="B324" s="3" t="s">
        <v>119</v>
      </c>
      <c r="C324" s="18">
        <v>2</v>
      </c>
    </row>
    <row r="325" spans="1:3" x14ac:dyDescent="0.3">
      <c r="A325" s="2" t="s">
        <v>49</v>
      </c>
      <c r="B325" s="4" t="s">
        <v>98</v>
      </c>
      <c r="C325" s="17">
        <v>5.5555555555555558E-5</v>
      </c>
    </row>
    <row r="326" spans="1:3" x14ac:dyDescent="0.3">
      <c r="A326" s="2" t="s">
        <v>49</v>
      </c>
      <c r="B326" s="2" t="s">
        <v>114</v>
      </c>
      <c r="C326" s="17">
        <v>5.5555555555555558E-5</v>
      </c>
    </row>
    <row r="327" spans="1:3" x14ac:dyDescent="0.3">
      <c r="A327" s="2" t="s">
        <v>55</v>
      </c>
      <c r="B327" s="3" t="s">
        <v>136</v>
      </c>
      <c r="C327" s="18">
        <v>2</v>
      </c>
    </row>
    <row r="328" spans="1:3" x14ac:dyDescent="0.3">
      <c r="A328" s="2" t="s">
        <v>55</v>
      </c>
      <c r="B328" s="3" t="s">
        <v>84</v>
      </c>
      <c r="C328" s="18">
        <v>1</v>
      </c>
    </row>
    <row r="329" spans="1:3" x14ac:dyDescent="0.3">
      <c r="A329" s="2" t="s">
        <v>55</v>
      </c>
      <c r="B329" s="3" t="s">
        <v>141</v>
      </c>
      <c r="C329" s="18">
        <v>1</v>
      </c>
    </row>
    <row r="330" spans="1:3" x14ac:dyDescent="0.3">
      <c r="A330" s="2" t="s">
        <v>55</v>
      </c>
      <c r="B330" s="3" t="s">
        <v>138</v>
      </c>
      <c r="C330" s="18">
        <v>1</v>
      </c>
    </row>
    <row r="331" spans="1:3" x14ac:dyDescent="0.3">
      <c r="A331" s="2" t="s">
        <v>55</v>
      </c>
      <c r="B331" s="3" t="s">
        <v>142</v>
      </c>
      <c r="C331" s="18">
        <v>1</v>
      </c>
    </row>
    <row r="332" spans="1:3" x14ac:dyDescent="0.3">
      <c r="A332" s="2" t="s">
        <v>55</v>
      </c>
      <c r="B332" s="3" t="s">
        <v>139</v>
      </c>
      <c r="C332" s="18">
        <v>2</v>
      </c>
    </row>
    <row r="333" spans="1:3" x14ac:dyDescent="0.3">
      <c r="A333" s="2" t="s">
        <v>55</v>
      </c>
      <c r="B333" s="4" t="s">
        <v>98</v>
      </c>
      <c r="C333" s="17">
        <v>5.5555555555555558E-5</v>
      </c>
    </row>
    <row r="334" spans="1:3" x14ac:dyDescent="0.3">
      <c r="A334" s="2" t="s">
        <v>55</v>
      </c>
      <c r="B334" s="2" t="s">
        <v>114</v>
      </c>
      <c r="C334" s="17">
        <v>5.5555555555555558E-5</v>
      </c>
    </row>
    <row r="335" spans="1:3" x14ac:dyDescent="0.3">
      <c r="A335" s="2" t="s">
        <v>63</v>
      </c>
      <c r="B335" s="3" t="s">
        <v>136</v>
      </c>
      <c r="C335" s="18">
        <v>3</v>
      </c>
    </row>
    <row r="336" spans="1:3" x14ac:dyDescent="0.3">
      <c r="A336" s="2" t="s">
        <v>63</v>
      </c>
      <c r="B336" s="3" t="s">
        <v>84</v>
      </c>
      <c r="C336" s="18">
        <v>1</v>
      </c>
    </row>
    <row r="337" spans="1:3" x14ac:dyDescent="0.3">
      <c r="A337" s="2" t="s">
        <v>63</v>
      </c>
      <c r="B337" s="3" t="s">
        <v>144</v>
      </c>
      <c r="C337" s="18">
        <v>1</v>
      </c>
    </row>
    <row r="338" spans="1:3" x14ac:dyDescent="0.3">
      <c r="A338" s="2" t="s">
        <v>63</v>
      </c>
      <c r="B338" s="3" t="s">
        <v>138</v>
      </c>
      <c r="C338" s="18">
        <v>1</v>
      </c>
    </row>
    <row r="339" spans="1:3" x14ac:dyDescent="0.3">
      <c r="A339" s="2" t="s">
        <v>63</v>
      </c>
      <c r="B339" s="3" t="s">
        <v>142</v>
      </c>
      <c r="C339" s="18">
        <v>1</v>
      </c>
    </row>
    <row r="340" spans="1:3" x14ac:dyDescent="0.3">
      <c r="A340" s="2" t="s">
        <v>63</v>
      </c>
      <c r="B340" s="3" t="s">
        <v>145</v>
      </c>
      <c r="C340" s="18">
        <v>1</v>
      </c>
    </row>
    <row r="341" spans="1:3" x14ac:dyDescent="0.3">
      <c r="A341" s="2" t="s">
        <v>63</v>
      </c>
      <c r="B341" s="3" t="s">
        <v>139</v>
      </c>
      <c r="C341" s="18">
        <v>3</v>
      </c>
    </row>
    <row r="342" spans="1:3" x14ac:dyDescent="0.3">
      <c r="A342" s="2" t="s">
        <v>63</v>
      </c>
      <c r="B342" s="4" t="s">
        <v>98</v>
      </c>
      <c r="C342" s="17">
        <v>5.5555555555555558E-5</v>
      </c>
    </row>
    <row r="343" spans="1:3" x14ac:dyDescent="0.3">
      <c r="A343" s="2" t="s">
        <v>63</v>
      </c>
      <c r="B343" s="2" t="s">
        <v>114</v>
      </c>
      <c r="C343" s="17">
        <v>5.5555555555555558E-5</v>
      </c>
    </row>
    <row r="344" spans="1:3" x14ac:dyDescent="0.3">
      <c r="A344" s="2" t="s">
        <v>68</v>
      </c>
      <c r="B344" s="3" t="s">
        <v>136</v>
      </c>
      <c r="C344" s="18">
        <v>3</v>
      </c>
    </row>
    <row r="345" spans="1:3" x14ac:dyDescent="0.3">
      <c r="A345" s="2" t="s">
        <v>68</v>
      </c>
      <c r="B345" s="3" t="s">
        <v>84</v>
      </c>
      <c r="C345" s="18">
        <v>1</v>
      </c>
    </row>
    <row r="346" spans="1:3" x14ac:dyDescent="0.3">
      <c r="A346" s="2" t="s">
        <v>68</v>
      </c>
      <c r="B346" s="3" t="s">
        <v>144</v>
      </c>
      <c r="C346" s="18">
        <v>1</v>
      </c>
    </row>
    <row r="347" spans="1:3" x14ac:dyDescent="0.3">
      <c r="A347" s="2" t="s">
        <v>68</v>
      </c>
      <c r="B347" s="3" t="s">
        <v>138</v>
      </c>
      <c r="C347" s="18">
        <v>1</v>
      </c>
    </row>
    <row r="348" spans="1:3" x14ac:dyDescent="0.3">
      <c r="A348" s="2" t="s">
        <v>68</v>
      </c>
      <c r="B348" s="3" t="s">
        <v>142</v>
      </c>
      <c r="C348" s="18">
        <v>1</v>
      </c>
    </row>
    <row r="349" spans="1:3" x14ac:dyDescent="0.3">
      <c r="A349" s="2" t="s">
        <v>68</v>
      </c>
      <c r="B349" s="3" t="s">
        <v>145</v>
      </c>
      <c r="C349" s="18">
        <v>1</v>
      </c>
    </row>
    <row r="350" spans="1:3" x14ac:dyDescent="0.3">
      <c r="A350" s="2" t="s">
        <v>68</v>
      </c>
      <c r="B350" s="3" t="s">
        <v>139</v>
      </c>
      <c r="C350" s="18">
        <v>3</v>
      </c>
    </row>
    <row r="351" spans="1:3" x14ac:dyDescent="0.3">
      <c r="A351" s="2" t="s">
        <v>68</v>
      </c>
      <c r="B351" s="4" t="s">
        <v>98</v>
      </c>
      <c r="C351" s="17">
        <f>1/18000</f>
        <v>5.5555555555555558E-5</v>
      </c>
    </row>
    <row r="352" spans="1:3" x14ac:dyDescent="0.3">
      <c r="A352" s="2" t="s">
        <v>68</v>
      </c>
      <c r="B352" s="2" t="s">
        <v>114</v>
      </c>
      <c r="C352" s="17">
        <f>1/18000</f>
        <v>5.5555555555555558E-5</v>
      </c>
    </row>
    <row r="353" spans="1:3" x14ac:dyDescent="0.3">
      <c r="A353" s="2" t="s">
        <v>56</v>
      </c>
      <c r="B353" s="3" t="s">
        <v>136</v>
      </c>
      <c r="C353" s="18">
        <v>3</v>
      </c>
    </row>
    <row r="354" spans="1:3" x14ac:dyDescent="0.3">
      <c r="A354" s="2" t="s">
        <v>56</v>
      </c>
      <c r="B354" s="3" t="s">
        <v>84</v>
      </c>
      <c r="C354" s="18">
        <v>1</v>
      </c>
    </row>
    <row r="355" spans="1:3" x14ac:dyDescent="0.3">
      <c r="A355" s="2" t="s">
        <v>56</v>
      </c>
      <c r="B355" s="3" t="s">
        <v>144</v>
      </c>
      <c r="C355" s="18">
        <v>1</v>
      </c>
    </row>
    <row r="356" spans="1:3" x14ac:dyDescent="0.3">
      <c r="A356" s="2" t="s">
        <v>56</v>
      </c>
      <c r="B356" s="3" t="s">
        <v>138</v>
      </c>
      <c r="C356" s="18">
        <v>1</v>
      </c>
    </row>
    <row r="357" spans="1:3" x14ac:dyDescent="0.3">
      <c r="A357" s="2" t="s">
        <v>56</v>
      </c>
      <c r="B357" s="3" t="s">
        <v>142</v>
      </c>
      <c r="C357" s="18">
        <v>1</v>
      </c>
    </row>
    <row r="358" spans="1:3" x14ac:dyDescent="0.3">
      <c r="A358" s="2" t="s">
        <v>56</v>
      </c>
      <c r="B358" s="3" t="s">
        <v>145</v>
      </c>
      <c r="C358" s="18">
        <v>1</v>
      </c>
    </row>
    <row r="359" spans="1:3" x14ac:dyDescent="0.3">
      <c r="A359" s="2" t="s">
        <v>56</v>
      </c>
      <c r="B359" s="3" t="s">
        <v>143</v>
      </c>
      <c r="C359" s="18">
        <v>3</v>
      </c>
    </row>
    <row r="360" spans="1:3" x14ac:dyDescent="0.3">
      <c r="A360" s="2" t="s">
        <v>56</v>
      </c>
      <c r="B360" s="3" t="s">
        <v>119</v>
      </c>
      <c r="C360" s="18">
        <v>3</v>
      </c>
    </row>
    <row r="361" spans="1:3" x14ac:dyDescent="0.3">
      <c r="A361" s="2" t="s">
        <v>56</v>
      </c>
      <c r="B361" s="4" t="s">
        <v>98</v>
      </c>
      <c r="C361" s="17">
        <v>5.5555555555555558E-5</v>
      </c>
    </row>
    <row r="362" spans="1:3" x14ac:dyDescent="0.3">
      <c r="A362" s="2" t="s">
        <v>56</v>
      </c>
      <c r="B362" s="2" t="s">
        <v>114</v>
      </c>
      <c r="C362" s="17">
        <v>5.5555555555555558E-5</v>
      </c>
    </row>
    <row r="363" spans="1:3" x14ac:dyDescent="0.3">
      <c r="A363" s="2" t="s">
        <v>69</v>
      </c>
      <c r="B363" s="3" t="s">
        <v>136</v>
      </c>
      <c r="C363" s="18">
        <v>4</v>
      </c>
    </row>
    <row r="364" spans="1:3" x14ac:dyDescent="0.3">
      <c r="A364" s="2" t="s">
        <v>69</v>
      </c>
      <c r="B364" s="3" t="s">
        <v>84</v>
      </c>
      <c r="C364" s="18">
        <v>1</v>
      </c>
    </row>
    <row r="365" spans="1:3" x14ac:dyDescent="0.3">
      <c r="A365" s="2" t="s">
        <v>69</v>
      </c>
      <c r="B365" s="3" t="s">
        <v>147</v>
      </c>
      <c r="C365" s="18">
        <v>1</v>
      </c>
    </row>
    <row r="366" spans="1:3" x14ac:dyDescent="0.3">
      <c r="A366" s="2" t="s">
        <v>69</v>
      </c>
      <c r="B366" s="3" t="s">
        <v>138</v>
      </c>
      <c r="C366" s="18">
        <v>1</v>
      </c>
    </row>
    <row r="367" spans="1:3" x14ac:dyDescent="0.3">
      <c r="A367" s="2" t="s">
        <v>69</v>
      </c>
      <c r="B367" s="3" t="s">
        <v>142</v>
      </c>
      <c r="C367" s="18">
        <v>1</v>
      </c>
    </row>
    <row r="368" spans="1:3" x14ac:dyDescent="0.3">
      <c r="A368" s="2" t="s">
        <v>69</v>
      </c>
      <c r="B368" s="3" t="s">
        <v>148</v>
      </c>
      <c r="C368" s="18">
        <v>1</v>
      </c>
    </row>
    <row r="369" spans="1:3" x14ac:dyDescent="0.3">
      <c r="A369" s="2" t="s">
        <v>69</v>
      </c>
      <c r="B369" s="3" t="s">
        <v>145</v>
      </c>
      <c r="C369" s="18">
        <v>1</v>
      </c>
    </row>
    <row r="370" spans="1:3" x14ac:dyDescent="0.3">
      <c r="A370" s="2" t="s">
        <v>69</v>
      </c>
      <c r="B370" s="3" t="s">
        <v>139</v>
      </c>
      <c r="C370" s="18">
        <v>4</v>
      </c>
    </row>
    <row r="371" spans="1:3" x14ac:dyDescent="0.3">
      <c r="A371" s="2" t="s">
        <v>69</v>
      </c>
      <c r="B371" s="4" t="s">
        <v>98</v>
      </c>
      <c r="C371" s="17">
        <v>5.5555555555555558E-5</v>
      </c>
    </row>
    <row r="372" spans="1:3" x14ac:dyDescent="0.3">
      <c r="A372" s="2" t="s">
        <v>69</v>
      </c>
      <c r="B372" s="2" t="s">
        <v>114</v>
      </c>
      <c r="C372" s="17">
        <v>5.5555555555555558E-5</v>
      </c>
    </row>
    <row r="373" spans="1:3" x14ac:dyDescent="0.3">
      <c r="A373" s="2" t="s">
        <v>47</v>
      </c>
      <c r="B373" s="3" t="s">
        <v>119</v>
      </c>
      <c r="C373" s="18">
        <v>1</v>
      </c>
    </row>
    <row r="374" spans="1:3" x14ac:dyDescent="0.3">
      <c r="A374" s="2" t="s">
        <v>47</v>
      </c>
      <c r="B374" s="4" t="s">
        <v>82</v>
      </c>
      <c r="C374" s="17">
        <v>5.5555555555555558E-6</v>
      </c>
    </row>
    <row r="375" spans="1:3" x14ac:dyDescent="0.3">
      <c r="A375" s="2" t="s">
        <v>47</v>
      </c>
      <c r="B375" s="2" t="s">
        <v>114</v>
      </c>
      <c r="C375" s="17">
        <v>3.5714285714285714E-6</v>
      </c>
    </row>
    <row r="376" spans="1:3" x14ac:dyDescent="0.3">
      <c r="A376" s="2" t="s">
        <v>57</v>
      </c>
      <c r="B376" s="3" t="s">
        <v>119</v>
      </c>
      <c r="C376" s="18">
        <v>1</v>
      </c>
    </row>
    <row r="377" spans="1:3" x14ac:dyDescent="0.3">
      <c r="A377" s="2" t="s">
        <v>57</v>
      </c>
      <c r="B377" s="4" t="s">
        <v>82</v>
      </c>
      <c r="C377" s="17">
        <v>5.5555555555555558E-6</v>
      </c>
    </row>
    <row r="378" spans="1:3" x14ac:dyDescent="0.3">
      <c r="A378" s="2" t="s">
        <v>57</v>
      </c>
      <c r="B378" s="2" t="s">
        <v>114</v>
      </c>
      <c r="C378" s="17">
        <v>3.5714285714285714E-6</v>
      </c>
    </row>
    <row r="379" spans="1:3" x14ac:dyDescent="0.3">
      <c r="A379" s="2" t="s">
        <v>70</v>
      </c>
      <c r="B379" s="3" t="s">
        <v>136</v>
      </c>
      <c r="C379" s="13">
        <v>1</v>
      </c>
    </row>
    <row r="380" spans="1:3" x14ac:dyDescent="0.3">
      <c r="A380" s="2" t="s">
        <v>70</v>
      </c>
      <c r="B380" s="3" t="s">
        <v>84</v>
      </c>
      <c r="C380" s="18">
        <v>1</v>
      </c>
    </row>
    <row r="381" spans="1:3" x14ac:dyDescent="0.3">
      <c r="A381" s="2" t="s">
        <v>70</v>
      </c>
      <c r="B381" s="3" t="s">
        <v>150</v>
      </c>
      <c r="C381" s="13">
        <v>1</v>
      </c>
    </row>
    <row r="382" spans="1:3" x14ac:dyDescent="0.3">
      <c r="A382" s="2" t="s">
        <v>70</v>
      </c>
      <c r="B382" s="3" t="s">
        <v>138</v>
      </c>
      <c r="C382" s="18">
        <v>1</v>
      </c>
    </row>
    <row r="383" spans="1:3" x14ac:dyDescent="0.3">
      <c r="A383" s="2" t="s">
        <v>70</v>
      </c>
      <c r="B383" s="3" t="s">
        <v>139</v>
      </c>
      <c r="C383" s="18">
        <v>1</v>
      </c>
    </row>
    <row r="384" spans="1:3" x14ac:dyDescent="0.3">
      <c r="A384" s="2" t="s">
        <v>70</v>
      </c>
      <c r="B384" s="4" t="s">
        <v>98</v>
      </c>
      <c r="C384" s="17">
        <v>5.5555555555555558E-5</v>
      </c>
    </row>
    <row r="385" spans="1:3" x14ac:dyDescent="0.3">
      <c r="A385" s="2" t="s">
        <v>70</v>
      </c>
      <c r="B385" s="2" t="s">
        <v>114</v>
      </c>
      <c r="C385" s="17">
        <v>5.5555555555555558E-5</v>
      </c>
    </row>
    <row r="386" spans="1:3" x14ac:dyDescent="0.3">
      <c r="A386" s="2" t="s">
        <v>58</v>
      </c>
      <c r="B386" s="3" t="s">
        <v>136</v>
      </c>
      <c r="C386" s="18">
        <v>1</v>
      </c>
    </row>
    <row r="387" spans="1:3" x14ac:dyDescent="0.3">
      <c r="A387" s="2" t="s">
        <v>58</v>
      </c>
      <c r="B387" s="3" t="s">
        <v>84</v>
      </c>
      <c r="C387" s="18">
        <v>1</v>
      </c>
    </row>
    <row r="388" spans="1:3" x14ac:dyDescent="0.3">
      <c r="A388" s="2" t="s">
        <v>58</v>
      </c>
      <c r="B388" s="3" t="s">
        <v>151</v>
      </c>
      <c r="C388" s="18">
        <v>1</v>
      </c>
    </row>
    <row r="389" spans="1:3" x14ac:dyDescent="0.3">
      <c r="A389" s="2" t="s">
        <v>58</v>
      </c>
      <c r="B389" s="3" t="s">
        <v>145</v>
      </c>
      <c r="C389" s="18">
        <v>1</v>
      </c>
    </row>
    <row r="390" spans="1:3" x14ac:dyDescent="0.3">
      <c r="A390" s="2" t="s">
        <v>58</v>
      </c>
      <c r="B390" s="3" t="s">
        <v>139</v>
      </c>
      <c r="C390" s="18">
        <v>1</v>
      </c>
    </row>
    <row r="391" spans="1:3" x14ac:dyDescent="0.3">
      <c r="A391" s="2" t="s">
        <v>58</v>
      </c>
      <c r="B391" s="4" t="s">
        <v>98</v>
      </c>
      <c r="C391" s="17">
        <v>5.5555555555555558E-5</v>
      </c>
    </row>
    <row r="392" spans="1:3" x14ac:dyDescent="0.3">
      <c r="A392" s="2" t="s">
        <v>58</v>
      </c>
      <c r="B392" s="2" t="s">
        <v>114</v>
      </c>
      <c r="C392" s="17">
        <v>5.5555555555555558E-5</v>
      </c>
    </row>
    <row r="393" spans="1:3" x14ac:dyDescent="0.3">
      <c r="A393" s="2" t="s">
        <v>65</v>
      </c>
      <c r="B393" s="3" t="s">
        <v>136</v>
      </c>
      <c r="C393" s="18">
        <v>1</v>
      </c>
    </row>
    <row r="394" spans="1:3" x14ac:dyDescent="0.3">
      <c r="A394" s="2" t="s">
        <v>65</v>
      </c>
      <c r="B394" s="3" t="s">
        <v>105</v>
      </c>
      <c r="C394" s="18">
        <v>1</v>
      </c>
    </row>
    <row r="395" spans="1:3" x14ac:dyDescent="0.3">
      <c r="A395" s="2" t="s">
        <v>65</v>
      </c>
      <c r="B395" s="3" t="s">
        <v>137</v>
      </c>
      <c r="C395" s="18">
        <v>1</v>
      </c>
    </row>
    <row r="396" spans="1:3" x14ac:dyDescent="0.3">
      <c r="A396" s="2" t="s">
        <v>65</v>
      </c>
      <c r="B396" s="3" t="s">
        <v>140</v>
      </c>
      <c r="C396" s="18">
        <v>1</v>
      </c>
    </row>
    <row r="397" spans="1:3" x14ac:dyDescent="0.3">
      <c r="A397" s="2" t="s">
        <v>65</v>
      </c>
      <c r="B397" s="3" t="s">
        <v>139</v>
      </c>
      <c r="C397" s="18">
        <v>1</v>
      </c>
    </row>
    <row r="398" spans="1:3" x14ac:dyDescent="0.3">
      <c r="A398" s="2" t="s">
        <v>65</v>
      </c>
      <c r="B398" s="4" t="s">
        <v>98</v>
      </c>
      <c r="C398" s="17">
        <v>5.5555555555555558E-5</v>
      </c>
    </row>
    <row r="399" spans="1:3" x14ac:dyDescent="0.3">
      <c r="A399" s="2" t="s">
        <v>65</v>
      </c>
      <c r="B399" s="2" t="s">
        <v>114</v>
      </c>
      <c r="C399" s="17">
        <v>5.5555555555555558E-5</v>
      </c>
    </row>
    <row r="400" spans="1:3" x14ac:dyDescent="0.3">
      <c r="A400" s="2" t="s">
        <v>59</v>
      </c>
      <c r="B400" s="3" t="s">
        <v>136</v>
      </c>
      <c r="C400" s="13">
        <v>1</v>
      </c>
    </row>
    <row r="401" spans="1:3" x14ac:dyDescent="0.3">
      <c r="A401" s="2" t="s">
        <v>59</v>
      </c>
      <c r="B401" s="3" t="s">
        <v>105</v>
      </c>
      <c r="C401" s="13">
        <v>1</v>
      </c>
    </row>
    <row r="402" spans="1:3" x14ac:dyDescent="0.3">
      <c r="A402" s="2" t="s">
        <v>59</v>
      </c>
      <c r="B402" s="3" t="s">
        <v>137</v>
      </c>
      <c r="C402" s="13">
        <v>1</v>
      </c>
    </row>
    <row r="403" spans="1:3" x14ac:dyDescent="0.3">
      <c r="A403" s="2" t="s">
        <v>59</v>
      </c>
      <c r="B403" s="3" t="s">
        <v>140</v>
      </c>
      <c r="C403" s="13">
        <v>1</v>
      </c>
    </row>
    <row r="404" spans="1:3" x14ac:dyDescent="0.3">
      <c r="A404" s="2" t="s">
        <v>59</v>
      </c>
      <c r="B404" s="3" t="s">
        <v>139</v>
      </c>
      <c r="C404" s="13">
        <v>1</v>
      </c>
    </row>
    <row r="405" spans="1:3" x14ac:dyDescent="0.3">
      <c r="A405" s="2" t="s">
        <v>59</v>
      </c>
      <c r="B405" s="4" t="s">
        <v>98</v>
      </c>
      <c r="C405" s="17">
        <v>5.5555555555555558E-5</v>
      </c>
    </row>
    <row r="406" spans="1:3" x14ac:dyDescent="0.3">
      <c r="A406" s="2" t="s">
        <v>59</v>
      </c>
      <c r="B406" s="2" t="s">
        <v>114</v>
      </c>
      <c r="C406" s="17">
        <v>5.5555555555555558E-5</v>
      </c>
    </row>
    <row r="407" spans="1:3" x14ac:dyDescent="0.3">
      <c r="A407" s="2" t="s">
        <v>71</v>
      </c>
      <c r="B407" s="3" t="s">
        <v>136</v>
      </c>
      <c r="C407" s="13">
        <v>1</v>
      </c>
    </row>
    <row r="408" spans="1:3" x14ac:dyDescent="0.3">
      <c r="A408" s="2" t="s">
        <v>71</v>
      </c>
      <c r="B408" s="3" t="s">
        <v>105</v>
      </c>
      <c r="C408" s="13">
        <v>1</v>
      </c>
    </row>
    <row r="409" spans="1:3" x14ac:dyDescent="0.3">
      <c r="A409" s="2" t="s">
        <v>71</v>
      </c>
      <c r="B409" s="3" t="s">
        <v>137</v>
      </c>
      <c r="C409" s="13">
        <v>1</v>
      </c>
    </row>
    <row r="410" spans="1:3" x14ac:dyDescent="0.3">
      <c r="A410" s="2" t="s">
        <v>71</v>
      </c>
      <c r="B410" s="3" t="s">
        <v>140</v>
      </c>
      <c r="C410" s="13">
        <v>1</v>
      </c>
    </row>
    <row r="411" spans="1:3" x14ac:dyDescent="0.3">
      <c r="A411" s="2" t="s">
        <v>71</v>
      </c>
      <c r="B411" s="3" t="s">
        <v>139</v>
      </c>
      <c r="C411" s="13">
        <v>1</v>
      </c>
    </row>
    <row r="412" spans="1:3" x14ac:dyDescent="0.3">
      <c r="A412" s="2" t="s">
        <v>71</v>
      </c>
      <c r="B412" s="4" t="s">
        <v>98</v>
      </c>
      <c r="C412" s="17">
        <v>5.5555555555555558E-5</v>
      </c>
    </row>
    <row r="413" spans="1:3" x14ac:dyDescent="0.3">
      <c r="A413" s="2" t="s">
        <v>71</v>
      </c>
      <c r="B413" s="2" t="s">
        <v>114</v>
      </c>
      <c r="C413" s="17">
        <v>5.5555555555555558E-5</v>
      </c>
    </row>
    <row r="414" spans="1:3" x14ac:dyDescent="0.3">
      <c r="A414" s="2" t="s">
        <v>60</v>
      </c>
      <c r="B414" s="3" t="s">
        <v>152</v>
      </c>
      <c r="C414" s="18">
        <v>1</v>
      </c>
    </row>
    <row r="415" spans="1:3" x14ac:dyDescent="0.3">
      <c r="A415" s="2" t="s">
        <v>60</v>
      </c>
      <c r="B415" s="3" t="s">
        <v>119</v>
      </c>
      <c r="C415" s="18">
        <v>1</v>
      </c>
    </row>
    <row r="416" spans="1:3" x14ac:dyDescent="0.3">
      <c r="A416" s="2" t="s">
        <v>60</v>
      </c>
      <c r="B416" s="4" t="s">
        <v>82</v>
      </c>
      <c r="C416" s="17">
        <v>2.5000000000000001E-5</v>
      </c>
    </row>
    <row r="417" spans="1:3" x14ac:dyDescent="0.3">
      <c r="A417" s="2" t="s">
        <v>60</v>
      </c>
      <c r="B417" s="2" t="s">
        <v>114</v>
      </c>
      <c r="C417" s="19">
        <v>1.5384615384615384E-5</v>
      </c>
    </row>
    <row r="418" spans="1:3" x14ac:dyDescent="0.3">
      <c r="A418" s="2" t="s">
        <v>161</v>
      </c>
      <c r="B418" s="10" t="s">
        <v>162</v>
      </c>
      <c r="C418" s="20">
        <v>1</v>
      </c>
    </row>
    <row r="419" spans="1:3" x14ac:dyDescent="0.3">
      <c r="A419" s="2" t="s">
        <v>161</v>
      </c>
      <c r="B419" s="10" t="s">
        <v>163</v>
      </c>
      <c r="C419" s="20">
        <v>1</v>
      </c>
    </row>
    <row r="420" spans="1:3" x14ac:dyDescent="0.3">
      <c r="A420" s="2" t="s">
        <v>161</v>
      </c>
      <c r="B420" s="3" t="s">
        <v>136</v>
      </c>
      <c r="C420" s="18">
        <v>1</v>
      </c>
    </row>
    <row r="421" spans="1:3" x14ac:dyDescent="0.3">
      <c r="A421" s="2" t="s">
        <v>161</v>
      </c>
      <c r="B421" s="10" t="s">
        <v>164</v>
      </c>
      <c r="C421" s="20">
        <v>1</v>
      </c>
    </row>
    <row r="422" spans="1:3" x14ac:dyDescent="0.3">
      <c r="A422" s="2" t="s">
        <v>161</v>
      </c>
      <c r="B422" s="3" t="s">
        <v>136</v>
      </c>
      <c r="C422" s="18">
        <v>2</v>
      </c>
    </row>
    <row r="423" spans="1:3" x14ac:dyDescent="0.3">
      <c r="A423" s="2" t="s">
        <v>161</v>
      </c>
      <c r="B423" s="10" t="s">
        <v>165</v>
      </c>
      <c r="C423" s="20">
        <v>2</v>
      </c>
    </row>
    <row r="424" spans="1:3" x14ac:dyDescent="0.3">
      <c r="A424" s="2" t="s">
        <v>161</v>
      </c>
      <c r="B424" s="10" t="s">
        <v>166</v>
      </c>
      <c r="C424" s="20">
        <v>2</v>
      </c>
    </row>
    <row r="425" spans="1:3" x14ac:dyDescent="0.3">
      <c r="A425" s="2" t="s">
        <v>161</v>
      </c>
      <c r="B425" s="3" t="s">
        <v>98</v>
      </c>
      <c r="C425" s="21">
        <f>1/18000</f>
        <v>5.5555555555555558E-5</v>
      </c>
    </row>
    <row r="426" spans="1:3" x14ac:dyDescent="0.3">
      <c r="A426" s="2" t="s">
        <v>161</v>
      </c>
      <c r="B426" s="3" t="s">
        <v>114</v>
      </c>
      <c r="C426" s="21">
        <f>1/18000</f>
        <v>5.5555555555555558E-5</v>
      </c>
    </row>
    <row r="427" spans="1:3" x14ac:dyDescent="0.3">
      <c r="A427" s="2" t="s">
        <v>64</v>
      </c>
      <c r="B427" s="3" t="s">
        <v>180</v>
      </c>
      <c r="C427" s="13">
        <v>1</v>
      </c>
    </row>
    <row r="428" spans="1:3" x14ac:dyDescent="0.3">
      <c r="A428" s="2" t="s">
        <v>64</v>
      </c>
      <c r="B428" s="3" t="s">
        <v>119</v>
      </c>
      <c r="C428" s="13">
        <v>2</v>
      </c>
    </row>
    <row r="429" spans="1:3" x14ac:dyDescent="0.3">
      <c r="A429" s="2" t="s">
        <v>64</v>
      </c>
      <c r="B429" s="3" t="s">
        <v>181</v>
      </c>
      <c r="C429" s="17">
        <f>1/18000</f>
        <v>5.5555555555555558E-5</v>
      </c>
    </row>
    <row r="430" spans="1:3" x14ac:dyDescent="0.3">
      <c r="A430" s="2" t="s">
        <v>64</v>
      </c>
      <c r="B430" s="3" t="s">
        <v>83</v>
      </c>
      <c r="C430" s="17">
        <f>1/18000</f>
        <v>5.5555555555555558E-5</v>
      </c>
    </row>
    <row r="431" spans="1:3" x14ac:dyDescent="0.3">
      <c r="A431" s="2" t="s">
        <v>64</v>
      </c>
      <c r="B431" s="2" t="s">
        <v>80</v>
      </c>
      <c r="C431" s="13">
        <v>1.1111111111111112E-4</v>
      </c>
    </row>
    <row r="432" spans="1:3" x14ac:dyDescent="0.3">
      <c r="A432" s="2" t="s">
        <v>66</v>
      </c>
      <c r="B432" s="3" t="s">
        <v>136</v>
      </c>
      <c r="C432" s="18">
        <v>1</v>
      </c>
    </row>
    <row r="433" spans="1:3" x14ac:dyDescent="0.3">
      <c r="A433" s="2" t="s">
        <v>66</v>
      </c>
      <c r="B433" s="3" t="s">
        <v>84</v>
      </c>
      <c r="C433" s="18">
        <v>1</v>
      </c>
    </row>
    <row r="434" spans="1:3" x14ac:dyDescent="0.3">
      <c r="A434" s="2" t="s">
        <v>66</v>
      </c>
      <c r="B434" s="3" t="s">
        <v>141</v>
      </c>
      <c r="C434" s="18">
        <v>1</v>
      </c>
    </row>
    <row r="435" spans="1:3" x14ac:dyDescent="0.3">
      <c r="A435" s="2" t="s">
        <v>66</v>
      </c>
      <c r="B435" s="3" t="s">
        <v>146</v>
      </c>
      <c r="C435" s="18">
        <v>2</v>
      </c>
    </row>
    <row r="436" spans="1:3" x14ac:dyDescent="0.3">
      <c r="A436" s="2" t="s">
        <v>66</v>
      </c>
      <c r="B436" s="2" t="s">
        <v>153</v>
      </c>
      <c r="C436" s="18">
        <v>1</v>
      </c>
    </row>
    <row r="437" spans="1:3" x14ac:dyDescent="0.3">
      <c r="A437" s="2" t="s">
        <v>66</v>
      </c>
      <c r="B437" s="2" t="s">
        <v>154</v>
      </c>
      <c r="C437" s="18">
        <v>1</v>
      </c>
    </row>
    <row r="438" spans="1:3" x14ac:dyDescent="0.3">
      <c r="A438" s="2" t="s">
        <v>66</v>
      </c>
      <c r="B438" s="3" t="s">
        <v>139</v>
      </c>
      <c r="C438" s="18">
        <v>2</v>
      </c>
    </row>
    <row r="439" spans="1:3" x14ac:dyDescent="0.3">
      <c r="A439" s="2" t="s">
        <v>66</v>
      </c>
      <c r="B439" s="4" t="s">
        <v>155</v>
      </c>
      <c r="C439" s="17">
        <v>1</v>
      </c>
    </row>
    <row r="440" spans="1:3" x14ac:dyDescent="0.3">
      <c r="A440" s="2" t="s">
        <v>66</v>
      </c>
      <c r="B440" s="4" t="s">
        <v>156</v>
      </c>
      <c r="C440" s="17">
        <v>1</v>
      </c>
    </row>
    <row r="441" spans="1:3" x14ac:dyDescent="0.3">
      <c r="A441" s="2" t="s">
        <v>66</v>
      </c>
      <c r="B441" s="4" t="s">
        <v>157</v>
      </c>
      <c r="C441" s="17">
        <v>1</v>
      </c>
    </row>
    <row r="442" spans="1:3" x14ac:dyDescent="0.3">
      <c r="A442" s="2" t="s">
        <v>66</v>
      </c>
      <c r="B442" s="4" t="s">
        <v>158</v>
      </c>
      <c r="C442" s="17">
        <v>1</v>
      </c>
    </row>
    <row r="443" spans="1:3" x14ac:dyDescent="0.3">
      <c r="A443" s="2" t="s">
        <v>61</v>
      </c>
      <c r="B443" s="3" t="s">
        <v>136</v>
      </c>
      <c r="C443" s="18">
        <v>1</v>
      </c>
    </row>
    <row r="444" spans="1:3" x14ac:dyDescent="0.3">
      <c r="A444" s="2" t="s">
        <v>61</v>
      </c>
      <c r="B444" s="3" t="s">
        <v>84</v>
      </c>
      <c r="C444" s="18">
        <v>1</v>
      </c>
    </row>
    <row r="445" spans="1:3" x14ac:dyDescent="0.3">
      <c r="A445" s="2" t="s">
        <v>61</v>
      </c>
      <c r="B445" s="3" t="s">
        <v>141</v>
      </c>
      <c r="C445" s="18">
        <v>1</v>
      </c>
    </row>
    <row r="446" spans="1:3" x14ac:dyDescent="0.3">
      <c r="A446" s="2" t="s">
        <v>61</v>
      </c>
      <c r="B446" s="3" t="s">
        <v>146</v>
      </c>
      <c r="C446" s="18">
        <v>1</v>
      </c>
    </row>
    <row r="447" spans="1:3" x14ac:dyDescent="0.3">
      <c r="A447" s="2" t="s">
        <v>61</v>
      </c>
      <c r="B447" s="3" t="s">
        <v>149</v>
      </c>
      <c r="C447" s="18">
        <v>2</v>
      </c>
    </row>
    <row r="448" spans="1:3" x14ac:dyDescent="0.3">
      <c r="A448" s="2" t="s">
        <v>61</v>
      </c>
      <c r="B448" s="2" t="s">
        <v>153</v>
      </c>
      <c r="C448" s="18">
        <v>1</v>
      </c>
    </row>
    <row r="449" spans="1:3" x14ac:dyDescent="0.3">
      <c r="A449" s="2" t="s">
        <v>61</v>
      </c>
      <c r="B449" s="2" t="s">
        <v>154</v>
      </c>
      <c r="C449" s="18">
        <v>1</v>
      </c>
    </row>
    <row r="450" spans="1:3" x14ac:dyDescent="0.3">
      <c r="A450" s="2" t="s">
        <v>61</v>
      </c>
      <c r="B450" s="2" t="s">
        <v>159</v>
      </c>
      <c r="C450" s="18">
        <v>1</v>
      </c>
    </row>
    <row r="451" spans="1:3" x14ac:dyDescent="0.3">
      <c r="A451" s="2" t="s">
        <v>61</v>
      </c>
      <c r="B451" s="3" t="s">
        <v>139</v>
      </c>
      <c r="C451" s="18">
        <v>3</v>
      </c>
    </row>
    <row r="452" spans="1:3" x14ac:dyDescent="0.3">
      <c r="A452" s="2" t="s">
        <v>61</v>
      </c>
      <c r="B452" s="4" t="s">
        <v>155</v>
      </c>
      <c r="C452" s="17">
        <v>1</v>
      </c>
    </row>
    <row r="453" spans="1:3" x14ac:dyDescent="0.3">
      <c r="A453" s="2" t="s">
        <v>61</v>
      </c>
      <c r="B453" s="4" t="s">
        <v>156</v>
      </c>
      <c r="C453" s="17">
        <v>1</v>
      </c>
    </row>
    <row r="454" spans="1:3" x14ac:dyDescent="0.3">
      <c r="A454" s="2" t="s">
        <v>61</v>
      </c>
      <c r="B454" s="4" t="s">
        <v>157</v>
      </c>
      <c r="C454" s="17">
        <v>1</v>
      </c>
    </row>
    <row r="455" spans="1:3" x14ac:dyDescent="0.3">
      <c r="A455" s="2" t="s">
        <v>61</v>
      </c>
      <c r="B455" s="4" t="s">
        <v>158</v>
      </c>
      <c r="C455" s="17">
        <v>1</v>
      </c>
    </row>
    <row r="456" spans="1:3" x14ac:dyDescent="0.3">
      <c r="A456" s="9" t="s">
        <v>48</v>
      </c>
      <c r="B456" s="9" t="s">
        <v>185</v>
      </c>
      <c r="C456" s="22">
        <v>2</v>
      </c>
    </row>
    <row r="457" spans="1:3" x14ac:dyDescent="0.3">
      <c r="A457" s="9" t="s">
        <v>48</v>
      </c>
      <c r="B457" s="9" t="s">
        <v>186</v>
      </c>
      <c r="C457" s="22">
        <v>2</v>
      </c>
    </row>
    <row r="458" spans="1:3" x14ac:dyDescent="0.3">
      <c r="A458" s="9" t="s">
        <v>48</v>
      </c>
      <c r="B458" s="9" t="s">
        <v>187</v>
      </c>
      <c r="C458" s="22">
        <v>1</v>
      </c>
    </row>
    <row r="459" spans="1:3" x14ac:dyDescent="0.3">
      <c r="A459" s="9" t="s">
        <v>48</v>
      </c>
      <c r="B459" s="9" t="s">
        <v>188</v>
      </c>
      <c r="C459" s="22">
        <v>1</v>
      </c>
    </row>
    <row r="460" spans="1:3" x14ac:dyDescent="0.3">
      <c r="A460" s="9" t="s">
        <v>48</v>
      </c>
      <c r="B460" s="9" t="s">
        <v>189</v>
      </c>
      <c r="C460" s="22">
        <v>1</v>
      </c>
    </row>
    <row r="461" spans="1:3" x14ac:dyDescent="0.3">
      <c r="A461" s="9" t="s">
        <v>48</v>
      </c>
      <c r="B461" s="9" t="s">
        <v>190</v>
      </c>
      <c r="C461" s="22">
        <v>1</v>
      </c>
    </row>
    <row r="462" spans="1:3" x14ac:dyDescent="0.3">
      <c r="A462" s="9" t="s">
        <v>48</v>
      </c>
      <c r="B462" s="9" t="s">
        <v>191</v>
      </c>
      <c r="C462" s="22">
        <v>1</v>
      </c>
    </row>
    <row r="463" spans="1:3" x14ac:dyDescent="0.3">
      <c r="A463" s="9" t="s">
        <v>48</v>
      </c>
      <c r="B463" s="9" t="s">
        <v>192</v>
      </c>
      <c r="C463" s="22">
        <v>1</v>
      </c>
    </row>
    <row r="464" spans="1:3" x14ac:dyDescent="0.3">
      <c r="A464" s="9" t="s">
        <v>48</v>
      </c>
      <c r="B464" s="9" t="s">
        <v>193</v>
      </c>
      <c r="C464" s="22">
        <v>6.7559999999999999E-3</v>
      </c>
    </row>
    <row r="465" spans="1:3" x14ac:dyDescent="0.3">
      <c r="A465" s="9" t="s">
        <v>48</v>
      </c>
      <c r="B465" s="9" t="s">
        <v>194</v>
      </c>
      <c r="C465" s="22">
        <v>3.6719999999999999E-3</v>
      </c>
    </row>
    <row r="466" spans="1:3" x14ac:dyDescent="0.3">
      <c r="A466" s="9" t="s">
        <v>48</v>
      </c>
      <c r="B466" s="9" t="s">
        <v>195</v>
      </c>
      <c r="C466" s="22">
        <v>2.568E-3</v>
      </c>
    </row>
    <row r="467" spans="1:3" x14ac:dyDescent="0.3">
      <c r="A467" s="9" t="s">
        <v>48</v>
      </c>
      <c r="B467" s="9" t="s">
        <v>196</v>
      </c>
      <c r="C467" s="22">
        <f>0.0008*1.2</f>
        <v>9.6000000000000002E-4</v>
      </c>
    </row>
    <row r="468" spans="1:3" x14ac:dyDescent="0.3">
      <c r="A468" s="9" t="s">
        <v>48</v>
      </c>
      <c r="B468" s="9" t="s">
        <v>197</v>
      </c>
      <c r="C468" s="22">
        <v>3.0400000000000002E-4</v>
      </c>
    </row>
    <row r="469" spans="1:3" x14ac:dyDescent="0.3">
      <c r="A469" s="9" t="s">
        <v>48</v>
      </c>
      <c r="B469" s="9" t="s">
        <v>198</v>
      </c>
      <c r="C469" s="22">
        <v>3.5E-4</v>
      </c>
    </row>
    <row r="470" spans="1:3" x14ac:dyDescent="0.3">
      <c r="A470" s="9" t="s">
        <v>48</v>
      </c>
      <c r="B470" s="9" t="s">
        <v>199</v>
      </c>
      <c r="C470" s="22">
        <v>5.5999999999999995E-4</v>
      </c>
    </row>
    <row r="471" spans="1:3" x14ac:dyDescent="0.3">
      <c r="A471" s="9" t="s">
        <v>48</v>
      </c>
      <c r="B471" s="3" t="s">
        <v>83</v>
      </c>
      <c r="C471" s="22">
        <f>1/9500</f>
        <v>1.0526315789473685E-4</v>
      </c>
    </row>
    <row r="472" spans="1:3" x14ac:dyDescent="0.3">
      <c r="A472" s="9" t="s">
        <v>48</v>
      </c>
      <c r="B472" s="3" t="s">
        <v>98</v>
      </c>
      <c r="C472" s="22">
        <f>1/9500</f>
        <v>1.0526315789473685E-4</v>
      </c>
    </row>
    <row r="473" spans="1:3" x14ac:dyDescent="0.3">
      <c r="A473" s="9" t="s">
        <v>48</v>
      </c>
      <c r="B473" s="3" t="s">
        <v>200</v>
      </c>
      <c r="C473" s="22">
        <f>1/400</f>
        <v>2.5000000000000001E-3</v>
      </c>
    </row>
    <row r="474" spans="1:3" x14ac:dyDescent="0.3">
      <c r="A474" s="9" t="s">
        <v>48</v>
      </c>
      <c r="B474" s="3" t="s">
        <v>201</v>
      </c>
      <c r="C474" s="22">
        <f>1/50</f>
        <v>0.02</v>
      </c>
    </row>
    <row r="475" spans="1:3" x14ac:dyDescent="0.3">
      <c r="A475" s="2" t="s">
        <v>73</v>
      </c>
      <c r="B475" s="2" t="s">
        <v>168</v>
      </c>
      <c r="C475" s="18">
        <v>1</v>
      </c>
    </row>
    <row r="476" spans="1:3" x14ac:dyDescent="0.3">
      <c r="A476" s="2" t="s">
        <v>73</v>
      </c>
      <c r="B476" s="2" t="s">
        <v>160</v>
      </c>
      <c r="C476" s="18">
        <v>1</v>
      </c>
    </row>
    <row r="477" spans="1:3" x14ac:dyDescent="0.3">
      <c r="A477" s="2" t="s">
        <v>73</v>
      </c>
      <c r="B477" s="2" t="s">
        <v>169</v>
      </c>
      <c r="C477" s="18">
        <v>1</v>
      </c>
    </row>
    <row r="478" spans="1:3" x14ac:dyDescent="0.3">
      <c r="A478" s="2" t="s">
        <v>73</v>
      </c>
      <c r="B478" s="2" t="s">
        <v>170</v>
      </c>
      <c r="C478" s="18">
        <v>1</v>
      </c>
    </row>
    <row r="479" spans="1:3" x14ac:dyDescent="0.3">
      <c r="A479" s="2" t="s">
        <v>73</v>
      </c>
      <c r="B479" s="2" t="s">
        <v>118</v>
      </c>
      <c r="C479" s="18">
        <v>1</v>
      </c>
    </row>
    <row r="480" spans="1:3" x14ac:dyDescent="0.3">
      <c r="A480" s="2" t="s">
        <v>73</v>
      </c>
      <c r="B480" s="2" t="s">
        <v>119</v>
      </c>
      <c r="C480" s="18">
        <v>2</v>
      </c>
    </row>
    <row r="481" spans="1:3" x14ac:dyDescent="0.3">
      <c r="A481" s="2" t="s">
        <v>73</v>
      </c>
      <c r="B481" s="2" t="s">
        <v>171</v>
      </c>
      <c r="C481" s="18">
        <v>1</v>
      </c>
    </row>
    <row r="482" spans="1:3" x14ac:dyDescent="0.3">
      <c r="A482" s="2" t="s">
        <v>73</v>
      </c>
      <c r="B482" s="2" t="s">
        <v>121</v>
      </c>
      <c r="C482" s="18">
        <v>1</v>
      </c>
    </row>
    <row r="483" spans="1:3" x14ac:dyDescent="0.3">
      <c r="A483" s="2" t="s">
        <v>73</v>
      </c>
      <c r="B483" s="2" t="s">
        <v>114</v>
      </c>
      <c r="C483" s="21">
        <f>1/18000</f>
        <v>5.5555555555555558E-5</v>
      </c>
    </row>
    <row r="484" spans="1:3" x14ac:dyDescent="0.3">
      <c r="A484" s="2" t="s">
        <v>73</v>
      </c>
      <c r="B484" s="3" t="s">
        <v>98</v>
      </c>
      <c r="C484" s="21">
        <f>1/18000</f>
        <v>5.5555555555555558E-5</v>
      </c>
    </row>
    <row r="485" spans="1:3" x14ac:dyDescent="0.3">
      <c r="A485" s="2" t="s">
        <v>74</v>
      </c>
      <c r="B485" s="11" t="s">
        <v>172</v>
      </c>
      <c r="C485" s="18">
        <v>1</v>
      </c>
    </row>
    <row r="486" spans="1:3" x14ac:dyDescent="0.3">
      <c r="A486" s="2" t="s">
        <v>74</v>
      </c>
      <c r="B486" s="11" t="s">
        <v>105</v>
      </c>
      <c r="C486" s="18">
        <v>1</v>
      </c>
    </row>
    <row r="487" spans="1:3" x14ac:dyDescent="0.3">
      <c r="A487" s="2" t="s">
        <v>74</v>
      </c>
      <c r="B487" s="11" t="s">
        <v>167</v>
      </c>
      <c r="C487" s="18">
        <v>1</v>
      </c>
    </row>
    <row r="488" spans="1:3" x14ac:dyDescent="0.3">
      <c r="A488" s="2" t="s">
        <v>74</v>
      </c>
      <c r="B488" s="11" t="s">
        <v>171</v>
      </c>
      <c r="C488" s="18">
        <v>1</v>
      </c>
    </row>
    <row r="489" spans="1:3" x14ac:dyDescent="0.3">
      <c r="A489" s="2" t="s">
        <v>74</v>
      </c>
      <c r="B489" s="12" t="s">
        <v>121</v>
      </c>
      <c r="C489" s="18">
        <v>1</v>
      </c>
    </row>
    <row r="490" spans="1:3" x14ac:dyDescent="0.3">
      <c r="A490" s="2" t="s">
        <v>74</v>
      </c>
      <c r="B490" s="3" t="s">
        <v>98</v>
      </c>
      <c r="C490" s="21">
        <f t="shared" ref="C490:C491" si="0">1/18000</f>
        <v>5.5555555555555558E-5</v>
      </c>
    </row>
    <row r="491" spans="1:3" x14ac:dyDescent="0.3">
      <c r="A491" s="2" t="s">
        <v>74</v>
      </c>
      <c r="B491" s="2" t="s">
        <v>114</v>
      </c>
      <c r="C491" s="21">
        <f t="shared" si="0"/>
        <v>5.5555555555555558E-5</v>
      </c>
    </row>
    <row r="492" spans="1:3" x14ac:dyDescent="0.3">
      <c r="A492" s="2" t="s">
        <v>62</v>
      </c>
      <c r="B492" s="3" t="s">
        <v>173</v>
      </c>
      <c r="C492" s="18">
        <v>1</v>
      </c>
    </row>
    <row r="493" spans="1:3" x14ac:dyDescent="0.3">
      <c r="A493" s="2" t="s">
        <v>62</v>
      </c>
      <c r="B493" s="4" t="s">
        <v>82</v>
      </c>
      <c r="C493" s="17">
        <f>1/180000</f>
        <v>5.5555555555555558E-6</v>
      </c>
    </row>
    <row r="494" spans="1:3" x14ac:dyDescent="0.3">
      <c r="A494" s="2" t="s">
        <v>62</v>
      </c>
      <c r="B494" s="4" t="s">
        <v>83</v>
      </c>
      <c r="C494" s="17">
        <f>1/280000</f>
        <v>3.5714285714285714E-6</v>
      </c>
    </row>
    <row r="495" spans="1:3" x14ac:dyDescent="0.3">
      <c r="A495" s="7" t="s">
        <v>46</v>
      </c>
      <c r="B495" s="5" t="s">
        <v>99</v>
      </c>
      <c r="C495" s="16">
        <v>1</v>
      </c>
    </row>
    <row r="496" spans="1:3" x14ac:dyDescent="0.3">
      <c r="A496" s="7" t="s">
        <v>46</v>
      </c>
      <c r="B496" s="5" t="s">
        <v>78</v>
      </c>
      <c r="C496" s="15">
        <f>1/30000</f>
        <v>3.3333333333333335E-5</v>
      </c>
    </row>
    <row r="497" spans="1:4" x14ac:dyDescent="0.3">
      <c r="A497" s="7" t="s">
        <v>46</v>
      </c>
      <c r="B497" s="5" t="s">
        <v>79</v>
      </c>
      <c r="C497" s="15">
        <f>1/85000</f>
        <v>1.1764705882352942E-5</v>
      </c>
    </row>
    <row r="498" spans="1:4" x14ac:dyDescent="0.3">
      <c r="A498" s="7" t="s">
        <v>46</v>
      </c>
      <c r="B498" s="7" t="s">
        <v>80</v>
      </c>
      <c r="C498" s="15">
        <v>1.1111111111111112E-4</v>
      </c>
    </row>
    <row r="499" spans="1:4" x14ac:dyDescent="0.3">
      <c r="A499" s="7" t="s">
        <v>46</v>
      </c>
      <c r="B499" s="7" t="s">
        <v>81</v>
      </c>
      <c r="C499" s="15">
        <f>1/80000</f>
        <v>1.2500000000000001E-5</v>
      </c>
    </row>
    <row r="500" spans="1:4" x14ac:dyDescent="0.3">
      <c r="A500" s="7" t="s">
        <v>46</v>
      </c>
      <c r="B500" s="7" t="s">
        <v>105</v>
      </c>
      <c r="C500" s="16">
        <v>1</v>
      </c>
    </row>
    <row r="501" spans="1:4" x14ac:dyDescent="0.3">
      <c r="A501" s="7" t="s">
        <v>46</v>
      </c>
      <c r="B501" s="5" t="s">
        <v>89</v>
      </c>
      <c r="C501" s="15">
        <v>1</v>
      </c>
    </row>
    <row r="502" spans="1:4" x14ac:dyDescent="0.3">
      <c r="A502" s="7" t="s">
        <v>46</v>
      </c>
      <c r="B502" s="5" t="s">
        <v>102</v>
      </c>
      <c r="C502" s="15">
        <v>1</v>
      </c>
    </row>
    <row r="503" spans="1:4" x14ac:dyDescent="0.3">
      <c r="A503" s="7" t="s">
        <v>46</v>
      </c>
      <c r="B503" s="5" t="s">
        <v>90</v>
      </c>
      <c r="C503" s="15">
        <v>1</v>
      </c>
    </row>
    <row r="504" spans="1:4" x14ac:dyDescent="0.3">
      <c r="A504" s="7" t="s">
        <v>46</v>
      </c>
      <c r="B504" s="5" t="s">
        <v>91</v>
      </c>
      <c r="C504" s="15">
        <v>1</v>
      </c>
    </row>
    <row r="505" spans="1:4" x14ac:dyDescent="0.3">
      <c r="A505" s="7" t="s">
        <v>46</v>
      </c>
      <c r="B505" s="5" t="s">
        <v>101</v>
      </c>
      <c r="C505" s="15">
        <v>1</v>
      </c>
    </row>
    <row r="506" spans="1:4" x14ac:dyDescent="0.3">
      <c r="A506" s="7" t="s">
        <v>46</v>
      </c>
      <c r="B506" s="7" t="s">
        <v>94</v>
      </c>
      <c r="C506" s="16">
        <v>1</v>
      </c>
    </row>
    <row r="507" spans="1:4" x14ac:dyDescent="0.3">
      <c r="A507" s="7" t="s">
        <v>46</v>
      </c>
      <c r="B507" s="7" t="s">
        <v>95</v>
      </c>
      <c r="C507" s="16">
        <v>1</v>
      </c>
    </row>
    <row r="508" spans="1:4" x14ac:dyDescent="0.3">
      <c r="A508" s="7" t="s">
        <v>46</v>
      </c>
      <c r="B508" s="5" t="s">
        <v>96</v>
      </c>
      <c r="C508" s="15">
        <v>1</v>
      </c>
    </row>
    <row r="509" spans="1:4" x14ac:dyDescent="0.3">
      <c r="A509" s="7" t="s">
        <v>46</v>
      </c>
      <c r="B509" s="5" t="s">
        <v>97</v>
      </c>
      <c r="C509" s="15">
        <v>1</v>
      </c>
    </row>
    <row r="510" spans="1:4" x14ac:dyDescent="0.3">
      <c r="A510" s="7" t="s">
        <v>46</v>
      </c>
      <c r="B510" s="5" t="s">
        <v>98</v>
      </c>
      <c r="C510" s="15">
        <f>1/18000</f>
        <v>5.5555555555555558E-5</v>
      </c>
    </row>
    <row r="511" spans="1:4" x14ac:dyDescent="0.3">
      <c r="A511" s="7" t="s">
        <v>46</v>
      </c>
      <c r="B511" s="7" t="s">
        <v>114</v>
      </c>
      <c r="C511" s="15">
        <f>1/18000</f>
        <v>5.5555555555555558E-5</v>
      </c>
    </row>
    <row r="512" spans="1:4" x14ac:dyDescent="0.3">
      <c r="A512" s="7" t="s">
        <v>75</v>
      </c>
      <c r="B512" s="5" t="s">
        <v>78</v>
      </c>
      <c r="C512" s="15">
        <f>1/30000</f>
        <v>3.3333333333333335E-5</v>
      </c>
      <c r="D512" s="6"/>
    </row>
    <row r="513" spans="1:4" x14ac:dyDescent="0.3">
      <c r="A513" s="7" t="s">
        <v>75</v>
      </c>
      <c r="B513" s="8" t="s">
        <v>115</v>
      </c>
      <c r="C513" s="16">
        <v>1</v>
      </c>
      <c r="D513" s="6"/>
    </row>
    <row r="514" spans="1:4" x14ac:dyDescent="0.3">
      <c r="A514" s="7" t="s">
        <v>75</v>
      </c>
      <c r="B514" s="8" t="s">
        <v>105</v>
      </c>
      <c r="C514" s="16">
        <v>1</v>
      </c>
      <c r="D514" s="6"/>
    </row>
    <row r="515" spans="1:4" x14ac:dyDescent="0.3">
      <c r="A515" s="7" t="s">
        <v>75</v>
      </c>
      <c r="B515" s="8" t="s">
        <v>89</v>
      </c>
      <c r="C515" s="16">
        <v>1</v>
      </c>
      <c r="D515" s="6"/>
    </row>
    <row r="516" spans="1:4" x14ac:dyDescent="0.3">
      <c r="A516" s="7" t="s">
        <v>75</v>
      </c>
      <c r="B516" s="7" t="s">
        <v>102</v>
      </c>
      <c r="C516" s="16">
        <v>2</v>
      </c>
      <c r="D516" s="6"/>
    </row>
    <row r="517" spans="1:4" x14ac:dyDescent="0.3">
      <c r="A517" s="7" t="s">
        <v>75</v>
      </c>
      <c r="B517" s="5" t="s">
        <v>90</v>
      </c>
      <c r="C517" s="15">
        <v>1</v>
      </c>
      <c r="D517" s="6"/>
    </row>
    <row r="518" spans="1:4" x14ac:dyDescent="0.3">
      <c r="A518" s="7" t="s">
        <v>75</v>
      </c>
      <c r="B518" s="5" t="s">
        <v>91</v>
      </c>
      <c r="C518" s="15">
        <v>1</v>
      </c>
      <c r="D518" s="6"/>
    </row>
    <row r="519" spans="1:4" x14ac:dyDescent="0.3">
      <c r="A519" s="7" t="s">
        <v>75</v>
      </c>
      <c r="B519" s="8" t="s">
        <v>96</v>
      </c>
      <c r="C519" s="16">
        <v>1</v>
      </c>
      <c r="D519" s="6"/>
    </row>
    <row r="520" spans="1:4" x14ac:dyDescent="0.3">
      <c r="A520" s="7" t="s">
        <v>75</v>
      </c>
      <c r="B520" s="8" t="s">
        <v>116</v>
      </c>
      <c r="C520" s="16">
        <v>1</v>
      </c>
      <c r="D520" s="6"/>
    </row>
    <row r="521" spans="1:4" x14ac:dyDescent="0.3">
      <c r="A521" s="7" t="s">
        <v>75</v>
      </c>
      <c r="B521" s="8" t="s">
        <v>117</v>
      </c>
      <c r="C521" s="16">
        <v>1</v>
      </c>
      <c r="D521" s="6"/>
    </row>
    <row r="522" spans="1:4" x14ac:dyDescent="0.3">
      <c r="A522" s="7" t="s">
        <v>75</v>
      </c>
      <c r="B522" s="8" t="s">
        <v>118</v>
      </c>
      <c r="C522" s="16">
        <v>1</v>
      </c>
      <c r="D522" s="6"/>
    </row>
    <row r="523" spans="1:4" x14ac:dyDescent="0.3">
      <c r="A523" s="7" t="s">
        <v>75</v>
      </c>
      <c r="B523" s="8" t="s">
        <v>119</v>
      </c>
      <c r="C523" s="16">
        <v>2</v>
      </c>
      <c r="D523" s="6"/>
    </row>
    <row r="524" spans="1:4" x14ac:dyDescent="0.3">
      <c r="A524" s="7" t="s">
        <v>75</v>
      </c>
      <c r="B524" s="8" t="s">
        <v>120</v>
      </c>
      <c r="C524" s="16">
        <v>1</v>
      </c>
      <c r="D524" s="6"/>
    </row>
    <row r="525" spans="1:4" x14ac:dyDescent="0.3">
      <c r="A525" s="7" t="s">
        <v>75</v>
      </c>
      <c r="B525" s="8" t="s">
        <v>121</v>
      </c>
      <c r="C525" s="16">
        <v>1</v>
      </c>
      <c r="D525" s="6"/>
    </row>
    <row r="526" spans="1:4" x14ac:dyDescent="0.3">
      <c r="A526" s="7" t="s">
        <v>75</v>
      </c>
      <c r="B526" s="5" t="s">
        <v>98</v>
      </c>
      <c r="C526" s="15">
        <f>1/18000</f>
        <v>5.5555555555555558E-5</v>
      </c>
      <c r="D526" s="6"/>
    </row>
    <row r="527" spans="1:4" x14ac:dyDescent="0.3">
      <c r="A527" s="7" t="s">
        <v>75</v>
      </c>
      <c r="B527" s="7" t="s">
        <v>114</v>
      </c>
      <c r="C527" s="23">
        <f>1/18000</f>
        <v>5.5555555555555558E-5</v>
      </c>
      <c r="D527" s="6"/>
    </row>
    <row r="528" spans="1:4" x14ac:dyDescent="0.3">
      <c r="A528" s="7" t="s">
        <v>75</v>
      </c>
      <c r="B528" s="8" t="s">
        <v>97</v>
      </c>
      <c r="C528" s="23">
        <v>1</v>
      </c>
      <c r="D528" s="6"/>
    </row>
    <row r="529" spans="1:3" x14ac:dyDescent="0.3">
      <c r="A529" s="7" t="s">
        <v>50</v>
      </c>
      <c r="B529" s="5" t="s">
        <v>99</v>
      </c>
      <c r="C529" s="16">
        <v>1</v>
      </c>
    </row>
    <row r="530" spans="1:3" x14ac:dyDescent="0.3">
      <c r="A530" s="7" t="s">
        <v>50</v>
      </c>
      <c r="B530" s="5" t="s">
        <v>78</v>
      </c>
      <c r="C530" s="15">
        <f>1/30000</f>
        <v>3.3333333333333335E-5</v>
      </c>
    </row>
    <row r="531" spans="1:3" x14ac:dyDescent="0.3">
      <c r="A531" s="7" t="s">
        <v>50</v>
      </c>
      <c r="B531" s="5" t="s">
        <v>79</v>
      </c>
      <c r="C531" s="15">
        <f>1/85000</f>
        <v>1.1764705882352942E-5</v>
      </c>
    </row>
    <row r="532" spans="1:3" x14ac:dyDescent="0.3">
      <c r="A532" s="7" t="s">
        <v>50</v>
      </c>
      <c r="B532" s="7" t="s">
        <v>80</v>
      </c>
      <c r="C532" s="15">
        <v>1.1111111111111112E-4</v>
      </c>
    </row>
    <row r="533" spans="1:3" x14ac:dyDescent="0.3">
      <c r="A533" s="7" t="s">
        <v>50</v>
      </c>
      <c r="B533" s="7" t="s">
        <v>81</v>
      </c>
      <c r="C533" s="15">
        <f>1/80000</f>
        <v>1.2500000000000001E-5</v>
      </c>
    </row>
    <row r="534" spans="1:3" x14ac:dyDescent="0.3">
      <c r="A534" s="7" t="s">
        <v>50</v>
      </c>
      <c r="B534" s="7" t="s">
        <v>105</v>
      </c>
      <c r="C534" s="16">
        <v>1</v>
      </c>
    </row>
    <row r="535" spans="1:3" x14ac:dyDescent="0.3">
      <c r="A535" s="7" t="s">
        <v>50</v>
      </c>
      <c r="B535" s="7" t="s">
        <v>110</v>
      </c>
      <c r="C535" s="16">
        <v>1</v>
      </c>
    </row>
    <row r="536" spans="1:3" x14ac:dyDescent="0.3">
      <c r="A536" s="7" t="s">
        <v>50</v>
      </c>
      <c r="B536" s="5" t="s">
        <v>102</v>
      </c>
      <c r="C536" s="15">
        <v>1</v>
      </c>
    </row>
    <row r="537" spans="1:3" x14ac:dyDescent="0.3">
      <c r="A537" s="7" t="s">
        <v>50</v>
      </c>
      <c r="B537" s="5" t="s">
        <v>90</v>
      </c>
      <c r="C537" s="15">
        <v>1</v>
      </c>
    </row>
    <row r="538" spans="1:3" x14ac:dyDescent="0.3">
      <c r="A538" s="7" t="s">
        <v>50</v>
      </c>
      <c r="B538" s="5" t="s">
        <v>91</v>
      </c>
      <c r="C538" s="15">
        <v>1</v>
      </c>
    </row>
    <row r="539" spans="1:3" x14ac:dyDescent="0.3">
      <c r="A539" s="7" t="s">
        <v>50</v>
      </c>
      <c r="B539" s="5" t="s">
        <v>101</v>
      </c>
      <c r="C539" s="15">
        <v>1</v>
      </c>
    </row>
    <row r="540" spans="1:3" x14ac:dyDescent="0.3">
      <c r="A540" s="7" t="s">
        <v>50</v>
      </c>
      <c r="B540" s="7" t="s">
        <v>94</v>
      </c>
      <c r="C540" s="16">
        <v>1</v>
      </c>
    </row>
    <row r="541" spans="1:3" x14ac:dyDescent="0.3">
      <c r="A541" s="7" t="s">
        <v>50</v>
      </c>
      <c r="B541" s="7" t="s">
        <v>95</v>
      </c>
      <c r="C541" s="16">
        <v>1</v>
      </c>
    </row>
    <row r="542" spans="1:3" x14ac:dyDescent="0.3">
      <c r="A542" s="7" t="s">
        <v>50</v>
      </c>
      <c r="B542" s="5" t="s">
        <v>96</v>
      </c>
      <c r="C542" s="15">
        <v>1</v>
      </c>
    </row>
    <row r="543" spans="1:3" x14ac:dyDescent="0.3">
      <c r="A543" s="7" t="s">
        <v>50</v>
      </c>
      <c r="B543" s="5" t="s">
        <v>97</v>
      </c>
      <c r="C543" s="15">
        <v>1</v>
      </c>
    </row>
    <row r="544" spans="1:3" x14ac:dyDescent="0.3">
      <c r="A544" s="7" t="s">
        <v>50</v>
      </c>
      <c r="B544" s="5" t="s">
        <v>98</v>
      </c>
      <c r="C544" s="15">
        <f>1/18000</f>
        <v>5.5555555555555558E-5</v>
      </c>
    </row>
    <row r="545" spans="1:3" x14ac:dyDescent="0.3">
      <c r="A545" s="7" t="s">
        <v>50</v>
      </c>
      <c r="B545" s="7" t="s">
        <v>114</v>
      </c>
      <c r="C545" s="15">
        <f>1/18000</f>
        <v>5.5555555555555558E-5</v>
      </c>
    </row>
    <row r="546" spans="1:3" x14ac:dyDescent="0.3">
      <c r="A546" s="7" t="s">
        <v>51</v>
      </c>
      <c r="B546" s="5" t="s">
        <v>99</v>
      </c>
      <c r="C546" s="16">
        <v>1</v>
      </c>
    </row>
    <row r="547" spans="1:3" x14ac:dyDescent="0.3">
      <c r="A547" s="7" t="s">
        <v>51</v>
      </c>
      <c r="B547" s="5" t="s">
        <v>78</v>
      </c>
      <c r="C547" s="15">
        <f>1/30000</f>
        <v>3.3333333333333335E-5</v>
      </c>
    </row>
    <row r="548" spans="1:3" x14ac:dyDescent="0.3">
      <c r="A548" s="7" t="s">
        <v>51</v>
      </c>
      <c r="B548" s="5" t="s">
        <v>79</v>
      </c>
      <c r="C548" s="15">
        <f>1/85000</f>
        <v>1.1764705882352942E-5</v>
      </c>
    </row>
    <row r="549" spans="1:3" x14ac:dyDescent="0.3">
      <c r="A549" s="7" t="s">
        <v>51</v>
      </c>
      <c r="B549" s="7" t="s">
        <v>80</v>
      </c>
      <c r="C549" s="15">
        <v>1.1111111111111112E-4</v>
      </c>
    </row>
    <row r="550" spans="1:3" x14ac:dyDescent="0.3">
      <c r="A550" s="7" t="s">
        <v>51</v>
      </c>
      <c r="B550" s="7" t="s">
        <v>81</v>
      </c>
      <c r="C550" s="15">
        <f>1/80000</f>
        <v>1.2500000000000001E-5</v>
      </c>
    </row>
    <row r="551" spans="1:3" x14ac:dyDescent="0.3">
      <c r="A551" s="7" t="s">
        <v>51</v>
      </c>
      <c r="B551" s="7" t="s">
        <v>105</v>
      </c>
      <c r="C551" s="16">
        <v>1</v>
      </c>
    </row>
    <row r="552" spans="1:3" x14ac:dyDescent="0.3">
      <c r="A552" s="7" t="s">
        <v>51</v>
      </c>
      <c r="B552" s="7" t="s">
        <v>111</v>
      </c>
      <c r="C552" s="16">
        <v>1</v>
      </c>
    </row>
    <row r="553" spans="1:3" x14ac:dyDescent="0.3">
      <c r="A553" s="7" t="s">
        <v>51</v>
      </c>
      <c r="B553" s="7" t="s">
        <v>112</v>
      </c>
      <c r="C553" s="16">
        <v>1</v>
      </c>
    </row>
    <row r="554" spans="1:3" x14ac:dyDescent="0.3">
      <c r="A554" s="7" t="s">
        <v>51</v>
      </c>
      <c r="B554" s="5" t="s">
        <v>110</v>
      </c>
      <c r="C554" s="15">
        <v>1</v>
      </c>
    </row>
    <row r="555" spans="1:3" x14ac:dyDescent="0.3">
      <c r="A555" s="7" t="s">
        <v>51</v>
      </c>
      <c r="B555" s="5" t="s">
        <v>102</v>
      </c>
      <c r="C555" s="15">
        <v>1</v>
      </c>
    </row>
    <row r="556" spans="1:3" x14ac:dyDescent="0.3">
      <c r="A556" s="7" t="s">
        <v>51</v>
      </c>
      <c r="B556" s="5" t="s">
        <v>90</v>
      </c>
      <c r="C556" s="15">
        <v>1</v>
      </c>
    </row>
    <row r="557" spans="1:3" x14ac:dyDescent="0.3">
      <c r="A557" s="7" t="s">
        <v>51</v>
      </c>
      <c r="B557" s="5" t="s">
        <v>91</v>
      </c>
      <c r="C557" s="15">
        <v>1</v>
      </c>
    </row>
    <row r="558" spans="1:3" x14ac:dyDescent="0.3">
      <c r="A558" s="7" t="s">
        <v>51</v>
      </c>
      <c r="B558" s="5" t="s">
        <v>101</v>
      </c>
      <c r="C558" s="15">
        <v>1</v>
      </c>
    </row>
    <row r="559" spans="1:3" x14ac:dyDescent="0.3">
      <c r="A559" s="7" t="s">
        <v>51</v>
      </c>
      <c r="B559" s="7" t="s">
        <v>94</v>
      </c>
      <c r="C559" s="16">
        <v>1</v>
      </c>
    </row>
    <row r="560" spans="1:3" x14ac:dyDescent="0.3">
      <c r="A560" s="7" t="s">
        <v>51</v>
      </c>
      <c r="B560" s="7" t="s">
        <v>95</v>
      </c>
      <c r="C560" s="16">
        <v>1</v>
      </c>
    </row>
    <row r="561" spans="1:3" x14ac:dyDescent="0.3">
      <c r="A561" s="7" t="s">
        <v>51</v>
      </c>
      <c r="B561" s="5" t="s">
        <v>96</v>
      </c>
      <c r="C561" s="15">
        <v>1</v>
      </c>
    </row>
    <row r="562" spans="1:3" x14ac:dyDescent="0.3">
      <c r="A562" s="7" t="s">
        <v>51</v>
      </c>
      <c r="B562" s="5" t="s">
        <v>97</v>
      </c>
      <c r="C562" s="15">
        <v>1</v>
      </c>
    </row>
    <row r="563" spans="1:3" x14ac:dyDescent="0.3">
      <c r="A563" s="7" t="s">
        <v>51</v>
      </c>
      <c r="B563" s="5" t="s">
        <v>98</v>
      </c>
      <c r="C563" s="15">
        <f>1/18000</f>
        <v>5.5555555555555558E-5</v>
      </c>
    </row>
    <row r="564" spans="1:3" x14ac:dyDescent="0.3">
      <c r="A564" s="7" t="s">
        <v>51</v>
      </c>
      <c r="B564" s="7" t="s">
        <v>114</v>
      </c>
      <c r="C564" s="15">
        <f>1/18000</f>
        <v>5.5555555555555558E-5</v>
      </c>
    </row>
    <row r="565" spans="1:3" x14ac:dyDescent="0.3">
      <c r="A565" s="2" t="s">
        <v>4</v>
      </c>
      <c r="B565" s="2" t="s">
        <v>180</v>
      </c>
      <c r="C565" s="18">
        <v>1</v>
      </c>
    </row>
    <row r="566" spans="1:3" x14ac:dyDescent="0.3">
      <c r="A566" s="2" t="s">
        <v>4</v>
      </c>
      <c r="B566" s="4" t="s">
        <v>181</v>
      </c>
      <c r="C566" s="18">
        <f>1/18000</f>
        <v>5.5555555555555558E-5</v>
      </c>
    </row>
    <row r="567" spans="1:3" x14ac:dyDescent="0.3">
      <c r="A567" s="2" t="s">
        <v>4</v>
      </c>
      <c r="B567" s="4" t="s">
        <v>83</v>
      </c>
      <c r="C567" s="18">
        <f>1/18000</f>
        <v>5.5555555555555558E-5</v>
      </c>
    </row>
    <row r="568" spans="1:3" x14ac:dyDescent="0.3">
      <c r="A568" s="2" t="s">
        <v>13</v>
      </c>
      <c r="B568" s="3" t="s">
        <v>99</v>
      </c>
      <c r="C568" s="13">
        <v>1</v>
      </c>
    </row>
    <row r="569" spans="1:3" x14ac:dyDescent="0.3">
      <c r="A569" s="2" t="s">
        <v>13</v>
      </c>
      <c r="B569" s="2" t="s">
        <v>112</v>
      </c>
      <c r="C569" s="18">
        <v>1</v>
      </c>
    </row>
    <row r="570" spans="1:3" x14ac:dyDescent="0.3">
      <c r="A570" s="2" t="s">
        <v>13</v>
      </c>
      <c r="B570" s="2" t="s">
        <v>111</v>
      </c>
      <c r="C570" s="18">
        <v>1</v>
      </c>
    </row>
    <row r="571" spans="1:3" x14ac:dyDescent="0.3">
      <c r="A571" s="2" t="s">
        <v>13</v>
      </c>
      <c r="B571" s="3" t="s">
        <v>84</v>
      </c>
      <c r="C571" s="18">
        <v>1</v>
      </c>
    </row>
    <row r="572" spans="1:3" x14ac:dyDescent="0.3">
      <c r="A572" s="2" t="s">
        <v>13</v>
      </c>
      <c r="B572" s="4" t="s">
        <v>98</v>
      </c>
      <c r="C572" s="18">
        <f>1/18000</f>
        <v>5.5555555555555558E-5</v>
      </c>
    </row>
    <row r="573" spans="1:3" x14ac:dyDescent="0.3">
      <c r="A573" s="2" t="s">
        <v>13</v>
      </c>
      <c r="B573" s="4" t="s">
        <v>83</v>
      </c>
      <c r="C573" s="18">
        <f>1/18000</f>
        <v>5.5555555555555558E-5</v>
      </c>
    </row>
    <row r="574" spans="1:3" x14ac:dyDescent="0.3">
      <c r="A574" s="2" t="s">
        <v>17</v>
      </c>
      <c r="B574" s="3" t="s">
        <v>99</v>
      </c>
      <c r="C574" s="13">
        <v>1</v>
      </c>
    </row>
    <row r="575" spans="1:3" x14ac:dyDescent="0.3">
      <c r="A575" s="2" t="s">
        <v>17</v>
      </c>
      <c r="B575" s="2" t="s">
        <v>112</v>
      </c>
      <c r="C575" s="18">
        <v>1</v>
      </c>
    </row>
    <row r="576" spans="1:3" x14ac:dyDescent="0.3">
      <c r="A576" s="2" t="s">
        <v>17</v>
      </c>
      <c r="B576" s="2" t="s">
        <v>111</v>
      </c>
      <c r="C576" s="18">
        <v>1</v>
      </c>
    </row>
    <row r="577" spans="1:3" x14ac:dyDescent="0.3">
      <c r="A577" s="2" t="s">
        <v>17</v>
      </c>
      <c r="B577" s="3" t="s">
        <v>84</v>
      </c>
      <c r="C577" s="18">
        <v>1</v>
      </c>
    </row>
    <row r="578" spans="1:3" x14ac:dyDescent="0.3">
      <c r="A578" s="2" t="s">
        <v>17</v>
      </c>
      <c r="B578" s="4" t="s">
        <v>98</v>
      </c>
      <c r="C578" s="18">
        <f>1/18000</f>
        <v>5.5555555555555558E-5</v>
      </c>
    </row>
    <row r="579" spans="1:3" x14ac:dyDescent="0.3">
      <c r="A579" s="2" t="s">
        <v>17</v>
      </c>
      <c r="B579" s="4" t="s">
        <v>83</v>
      </c>
      <c r="C579" s="18">
        <f>1/18000</f>
        <v>5.5555555555555558E-5</v>
      </c>
    </row>
  </sheetData>
  <autoFilter ref="A1:C579" xr:uid="{9291BF0D-35FD-4222-81EB-404D52679D1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11DC-1765-49C7-B7FD-EA4A86F365E5}">
  <dimension ref="A1:B579"/>
  <sheetViews>
    <sheetView tabSelected="1" topLeftCell="A344" workbookViewId="0">
      <selection sqref="A1:B579"/>
    </sheetView>
  </sheetViews>
  <sheetFormatPr defaultRowHeight="14.4" x14ac:dyDescent="0.3"/>
  <cols>
    <col min="1" max="1" width="19.44140625" bestFit="1" customWidth="1"/>
  </cols>
  <sheetData>
    <row r="1" spans="1:2" x14ac:dyDescent="0.3">
      <c r="A1" s="26" t="s">
        <v>76</v>
      </c>
      <c r="B1" t="s">
        <v>206</v>
      </c>
    </row>
    <row r="2" spans="1:2" x14ac:dyDescent="0.3">
      <c r="A2" s="27" t="s">
        <v>79</v>
      </c>
      <c r="B2">
        <v>100</v>
      </c>
    </row>
    <row r="3" spans="1:2" x14ac:dyDescent="0.3">
      <c r="A3" s="27" t="s">
        <v>80</v>
      </c>
      <c r="B3">
        <v>100</v>
      </c>
    </row>
    <row r="4" spans="1:2" x14ac:dyDescent="0.3">
      <c r="A4" s="27" t="s">
        <v>81</v>
      </c>
      <c r="B4">
        <v>100</v>
      </c>
    </row>
    <row r="5" spans="1:2" x14ac:dyDescent="0.3">
      <c r="A5" s="27" t="s">
        <v>87</v>
      </c>
      <c r="B5">
        <v>100</v>
      </c>
    </row>
    <row r="6" spans="1:2" x14ac:dyDescent="0.3">
      <c r="A6" s="27" t="s">
        <v>88</v>
      </c>
      <c r="B6">
        <v>100</v>
      </c>
    </row>
    <row r="7" spans="1:2" x14ac:dyDescent="0.3">
      <c r="A7" s="27" t="s">
        <v>89</v>
      </c>
      <c r="B7">
        <v>100</v>
      </c>
    </row>
    <row r="8" spans="1:2" x14ac:dyDescent="0.3">
      <c r="A8" s="27" t="s">
        <v>90</v>
      </c>
      <c r="B8">
        <v>100</v>
      </c>
    </row>
    <row r="9" spans="1:2" x14ac:dyDescent="0.3">
      <c r="A9" s="27" t="s">
        <v>91</v>
      </c>
      <c r="B9">
        <v>100</v>
      </c>
    </row>
    <row r="10" spans="1:2" x14ac:dyDescent="0.3">
      <c r="A10" s="27" t="s">
        <v>92</v>
      </c>
      <c r="B10">
        <v>100</v>
      </c>
    </row>
    <row r="11" spans="1:2" x14ac:dyDescent="0.3">
      <c r="A11" s="27" t="s">
        <v>93</v>
      </c>
      <c r="B11">
        <v>100</v>
      </c>
    </row>
    <row r="12" spans="1:2" x14ac:dyDescent="0.3">
      <c r="A12" s="28" t="s">
        <v>94</v>
      </c>
      <c r="B12">
        <v>100</v>
      </c>
    </row>
    <row r="13" spans="1:2" x14ac:dyDescent="0.3">
      <c r="A13" s="28" t="s">
        <v>95</v>
      </c>
      <c r="B13">
        <v>100</v>
      </c>
    </row>
    <row r="14" spans="1:2" x14ac:dyDescent="0.3">
      <c r="A14" s="27" t="s">
        <v>96</v>
      </c>
      <c r="B14">
        <v>100</v>
      </c>
    </row>
    <row r="15" spans="1:2" x14ac:dyDescent="0.3">
      <c r="A15" s="27" t="s">
        <v>97</v>
      </c>
      <c r="B15">
        <v>100</v>
      </c>
    </row>
    <row r="16" spans="1:2" x14ac:dyDescent="0.3">
      <c r="A16" s="27" t="s">
        <v>98</v>
      </c>
      <c r="B16">
        <v>100</v>
      </c>
    </row>
    <row r="17" spans="1:2" x14ac:dyDescent="0.3">
      <c r="A17" s="27" t="s">
        <v>83</v>
      </c>
      <c r="B17">
        <v>100</v>
      </c>
    </row>
    <row r="18" spans="1:2" x14ac:dyDescent="0.3">
      <c r="A18" s="27" t="s">
        <v>78</v>
      </c>
      <c r="B18">
        <v>100</v>
      </c>
    </row>
    <row r="19" spans="1:2" x14ac:dyDescent="0.3">
      <c r="A19" s="27" t="s">
        <v>79</v>
      </c>
      <c r="B19">
        <v>100</v>
      </c>
    </row>
    <row r="20" spans="1:2" x14ac:dyDescent="0.3">
      <c r="A20" s="28" t="s">
        <v>80</v>
      </c>
      <c r="B20">
        <v>100</v>
      </c>
    </row>
    <row r="21" spans="1:2" x14ac:dyDescent="0.3">
      <c r="A21" s="28" t="s">
        <v>81</v>
      </c>
      <c r="B21">
        <v>100</v>
      </c>
    </row>
    <row r="22" spans="1:2" x14ac:dyDescent="0.3">
      <c r="A22" s="27" t="s">
        <v>99</v>
      </c>
      <c r="B22">
        <v>100</v>
      </c>
    </row>
    <row r="23" spans="1:2" x14ac:dyDescent="0.3">
      <c r="A23" s="27" t="s">
        <v>88</v>
      </c>
      <c r="B23">
        <v>100</v>
      </c>
    </row>
    <row r="24" spans="1:2" x14ac:dyDescent="0.3">
      <c r="A24" s="27" t="s">
        <v>89</v>
      </c>
      <c r="B24">
        <v>100</v>
      </c>
    </row>
    <row r="25" spans="1:2" x14ac:dyDescent="0.3">
      <c r="A25" s="27" t="s">
        <v>85</v>
      </c>
      <c r="B25">
        <v>100</v>
      </c>
    </row>
    <row r="26" spans="1:2" x14ac:dyDescent="0.3">
      <c r="A26" s="27" t="s">
        <v>100</v>
      </c>
      <c r="B26">
        <v>100</v>
      </c>
    </row>
    <row r="27" spans="1:2" x14ac:dyDescent="0.3">
      <c r="A27" s="27" t="s">
        <v>101</v>
      </c>
      <c r="B27">
        <v>100</v>
      </c>
    </row>
    <row r="28" spans="1:2" x14ac:dyDescent="0.3">
      <c r="A28" s="28" t="s">
        <v>94</v>
      </c>
      <c r="B28">
        <v>100</v>
      </c>
    </row>
    <row r="29" spans="1:2" x14ac:dyDescent="0.3">
      <c r="A29" s="28" t="s">
        <v>95</v>
      </c>
      <c r="B29">
        <v>100</v>
      </c>
    </row>
    <row r="30" spans="1:2" x14ac:dyDescent="0.3">
      <c r="A30" s="27" t="s">
        <v>96</v>
      </c>
      <c r="B30">
        <v>100</v>
      </c>
    </row>
    <row r="31" spans="1:2" x14ac:dyDescent="0.3">
      <c r="A31" s="27" t="s">
        <v>97</v>
      </c>
      <c r="B31">
        <v>100</v>
      </c>
    </row>
    <row r="32" spans="1:2" x14ac:dyDescent="0.3">
      <c r="A32" s="27" t="s">
        <v>98</v>
      </c>
      <c r="B32">
        <v>100</v>
      </c>
    </row>
    <row r="33" spans="1:2" x14ac:dyDescent="0.3">
      <c r="A33" s="27" t="s">
        <v>83</v>
      </c>
      <c r="B33">
        <v>100</v>
      </c>
    </row>
    <row r="34" spans="1:2" x14ac:dyDescent="0.3">
      <c r="A34" s="27" t="s">
        <v>79</v>
      </c>
      <c r="B34">
        <v>100</v>
      </c>
    </row>
    <row r="35" spans="1:2" x14ac:dyDescent="0.3">
      <c r="A35" s="28" t="s">
        <v>80</v>
      </c>
      <c r="B35">
        <v>100</v>
      </c>
    </row>
    <row r="36" spans="1:2" x14ac:dyDescent="0.3">
      <c r="A36" s="28" t="s">
        <v>81</v>
      </c>
      <c r="B36">
        <v>100</v>
      </c>
    </row>
    <row r="37" spans="1:2" x14ac:dyDescent="0.3">
      <c r="A37" s="27" t="s">
        <v>87</v>
      </c>
      <c r="B37">
        <v>100</v>
      </c>
    </row>
    <row r="38" spans="1:2" x14ac:dyDescent="0.3">
      <c r="A38" s="27" t="s">
        <v>88</v>
      </c>
      <c r="B38">
        <v>100</v>
      </c>
    </row>
    <row r="39" spans="1:2" x14ac:dyDescent="0.3">
      <c r="A39" s="27" t="s">
        <v>89</v>
      </c>
      <c r="B39">
        <v>100</v>
      </c>
    </row>
    <row r="40" spans="1:2" x14ac:dyDescent="0.3">
      <c r="A40" s="27" t="s">
        <v>90</v>
      </c>
      <c r="B40">
        <v>100</v>
      </c>
    </row>
    <row r="41" spans="1:2" x14ac:dyDescent="0.3">
      <c r="A41" s="27" t="s">
        <v>91</v>
      </c>
      <c r="B41">
        <v>100</v>
      </c>
    </row>
    <row r="42" spans="1:2" x14ac:dyDescent="0.3">
      <c r="A42" s="27" t="s">
        <v>92</v>
      </c>
      <c r="B42">
        <v>100</v>
      </c>
    </row>
    <row r="43" spans="1:2" x14ac:dyDescent="0.3">
      <c r="A43" s="27" t="s">
        <v>101</v>
      </c>
      <c r="B43">
        <v>100</v>
      </c>
    </row>
    <row r="44" spans="1:2" x14ac:dyDescent="0.3">
      <c r="A44" s="28" t="s">
        <v>94</v>
      </c>
      <c r="B44">
        <v>100</v>
      </c>
    </row>
    <row r="45" spans="1:2" x14ac:dyDescent="0.3">
      <c r="A45" s="28" t="s">
        <v>95</v>
      </c>
      <c r="B45">
        <v>100</v>
      </c>
    </row>
    <row r="46" spans="1:2" x14ac:dyDescent="0.3">
      <c r="A46" s="27" t="s">
        <v>103</v>
      </c>
      <c r="B46">
        <v>100</v>
      </c>
    </row>
    <row r="47" spans="1:2" x14ac:dyDescent="0.3">
      <c r="A47" s="27" t="s">
        <v>97</v>
      </c>
      <c r="B47">
        <v>100</v>
      </c>
    </row>
    <row r="48" spans="1:2" x14ac:dyDescent="0.3">
      <c r="A48" s="27" t="s">
        <v>98</v>
      </c>
      <c r="B48">
        <v>100</v>
      </c>
    </row>
    <row r="49" spans="1:2" x14ac:dyDescent="0.3">
      <c r="A49" s="27" t="s">
        <v>83</v>
      </c>
      <c r="B49">
        <v>100</v>
      </c>
    </row>
    <row r="50" spans="1:2" x14ac:dyDescent="0.3">
      <c r="A50" s="27" t="s">
        <v>79</v>
      </c>
      <c r="B50">
        <v>100</v>
      </c>
    </row>
    <row r="51" spans="1:2" x14ac:dyDescent="0.3">
      <c r="A51" s="28" t="s">
        <v>80</v>
      </c>
      <c r="B51">
        <v>100</v>
      </c>
    </row>
    <row r="52" spans="1:2" x14ac:dyDescent="0.3">
      <c r="A52" s="28" t="s">
        <v>81</v>
      </c>
      <c r="B52">
        <v>100</v>
      </c>
    </row>
    <row r="53" spans="1:2" x14ac:dyDescent="0.3">
      <c r="A53" s="27" t="s">
        <v>99</v>
      </c>
      <c r="B53">
        <v>100</v>
      </c>
    </row>
    <row r="54" spans="1:2" x14ac:dyDescent="0.3">
      <c r="A54" s="27" t="s">
        <v>88</v>
      </c>
      <c r="B54">
        <v>100</v>
      </c>
    </row>
    <row r="55" spans="1:2" x14ac:dyDescent="0.3">
      <c r="A55" s="27" t="s">
        <v>89</v>
      </c>
      <c r="B55">
        <v>100</v>
      </c>
    </row>
    <row r="56" spans="1:2" x14ac:dyDescent="0.3">
      <c r="A56" s="27" t="s">
        <v>92</v>
      </c>
      <c r="B56">
        <v>100</v>
      </c>
    </row>
    <row r="57" spans="1:2" x14ac:dyDescent="0.3">
      <c r="A57" s="28" t="s">
        <v>104</v>
      </c>
      <c r="B57">
        <v>100</v>
      </c>
    </row>
    <row r="58" spans="1:2" x14ac:dyDescent="0.3">
      <c r="A58" s="27" t="s">
        <v>90</v>
      </c>
      <c r="B58">
        <v>100</v>
      </c>
    </row>
    <row r="59" spans="1:2" x14ac:dyDescent="0.3">
      <c r="A59" s="27" t="s">
        <v>91</v>
      </c>
      <c r="B59">
        <v>100</v>
      </c>
    </row>
    <row r="60" spans="1:2" x14ac:dyDescent="0.3">
      <c r="A60" s="27" t="s">
        <v>101</v>
      </c>
      <c r="B60">
        <v>100</v>
      </c>
    </row>
    <row r="61" spans="1:2" x14ac:dyDescent="0.3">
      <c r="A61" s="28" t="s">
        <v>94</v>
      </c>
      <c r="B61">
        <v>100</v>
      </c>
    </row>
    <row r="62" spans="1:2" x14ac:dyDescent="0.3">
      <c r="A62" s="28" t="s">
        <v>95</v>
      </c>
      <c r="B62">
        <v>100</v>
      </c>
    </row>
    <row r="63" spans="1:2" x14ac:dyDescent="0.3">
      <c r="A63" s="27" t="s">
        <v>96</v>
      </c>
      <c r="B63">
        <v>100</v>
      </c>
    </row>
    <row r="64" spans="1:2" x14ac:dyDescent="0.3">
      <c r="A64" s="27" t="s">
        <v>97</v>
      </c>
      <c r="B64">
        <v>100</v>
      </c>
    </row>
    <row r="65" spans="1:2" x14ac:dyDescent="0.3">
      <c r="A65" s="27" t="s">
        <v>98</v>
      </c>
      <c r="B65">
        <v>100</v>
      </c>
    </row>
    <row r="66" spans="1:2" x14ac:dyDescent="0.3">
      <c r="A66" s="27" t="s">
        <v>83</v>
      </c>
      <c r="B66">
        <v>100</v>
      </c>
    </row>
    <row r="67" spans="1:2" x14ac:dyDescent="0.3">
      <c r="A67" s="27" t="s">
        <v>78</v>
      </c>
      <c r="B67">
        <v>100</v>
      </c>
    </row>
    <row r="68" spans="1:2" x14ac:dyDescent="0.3">
      <c r="A68" s="27" t="s">
        <v>79</v>
      </c>
      <c r="B68">
        <v>100</v>
      </c>
    </row>
    <row r="69" spans="1:2" x14ac:dyDescent="0.3">
      <c r="A69" s="28" t="s">
        <v>80</v>
      </c>
      <c r="B69">
        <v>100</v>
      </c>
    </row>
    <row r="70" spans="1:2" x14ac:dyDescent="0.3">
      <c r="A70" s="28" t="s">
        <v>81</v>
      </c>
      <c r="B70">
        <v>100</v>
      </c>
    </row>
    <row r="71" spans="1:2" x14ac:dyDescent="0.3">
      <c r="A71" s="27" t="s">
        <v>99</v>
      </c>
      <c r="B71">
        <v>100</v>
      </c>
    </row>
    <row r="72" spans="1:2" x14ac:dyDescent="0.3">
      <c r="A72" s="28" t="s">
        <v>105</v>
      </c>
      <c r="B72">
        <v>100</v>
      </c>
    </row>
    <row r="73" spans="1:2" x14ac:dyDescent="0.3">
      <c r="A73" s="27" t="s">
        <v>89</v>
      </c>
      <c r="B73">
        <v>100</v>
      </c>
    </row>
    <row r="74" spans="1:2" x14ac:dyDescent="0.3">
      <c r="A74" s="27" t="s">
        <v>85</v>
      </c>
      <c r="B74">
        <v>100</v>
      </c>
    </row>
    <row r="75" spans="1:2" x14ac:dyDescent="0.3">
      <c r="A75" s="27" t="s">
        <v>102</v>
      </c>
      <c r="B75">
        <v>100</v>
      </c>
    </row>
    <row r="76" spans="1:2" x14ac:dyDescent="0.3">
      <c r="A76" s="27" t="s">
        <v>90</v>
      </c>
      <c r="B76">
        <v>100</v>
      </c>
    </row>
    <row r="77" spans="1:2" x14ac:dyDescent="0.3">
      <c r="A77" s="27" t="s">
        <v>91</v>
      </c>
      <c r="B77">
        <v>100</v>
      </c>
    </row>
    <row r="78" spans="1:2" x14ac:dyDescent="0.3">
      <c r="A78" s="27" t="s">
        <v>101</v>
      </c>
      <c r="B78">
        <v>100</v>
      </c>
    </row>
    <row r="79" spans="1:2" x14ac:dyDescent="0.3">
      <c r="A79" s="28" t="s">
        <v>94</v>
      </c>
      <c r="B79">
        <v>100</v>
      </c>
    </row>
    <row r="80" spans="1:2" x14ac:dyDescent="0.3">
      <c r="A80" s="28" t="s">
        <v>95</v>
      </c>
      <c r="B80">
        <v>100</v>
      </c>
    </row>
    <row r="81" spans="1:2" x14ac:dyDescent="0.3">
      <c r="A81" s="27" t="s">
        <v>96</v>
      </c>
      <c r="B81">
        <v>100</v>
      </c>
    </row>
    <row r="82" spans="1:2" x14ac:dyDescent="0.3">
      <c r="A82" s="27" t="s">
        <v>97</v>
      </c>
      <c r="B82">
        <v>100</v>
      </c>
    </row>
    <row r="83" spans="1:2" x14ac:dyDescent="0.3">
      <c r="A83" s="27" t="s">
        <v>98</v>
      </c>
      <c r="B83">
        <v>100</v>
      </c>
    </row>
    <row r="84" spans="1:2" x14ac:dyDescent="0.3">
      <c r="A84" s="27" t="s">
        <v>83</v>
      </c>
      <c r="B84">
        <v>100</v>
      </c>
    </row>
    <row r="85" spans="1:2" x14ac:dyDescent="0.3">
      <c r="A85" s="27" t="s">
        <v>78</v>
      </c>
      <c r="B85">
        <v>100</v>
      </c>
    </row>
    <row r="86" spans="1:2" x14ac:dyDescent="0.3">
      <c r="A86" s="27" t="s">
        <v>79</v>
      </c>
      <c r="B86">
        <v>100</v>
      </c>
    </row>
    <row r="87" spans="1:2" x14ac:dyDescent="0.3">
      <c r="A87" s="28" t="s">
        <v>80</v>
      </c>
      <c r="B87">
        <v>100</v>
      </c>
    </row>
    <row r="88" spans="1:2" x14ac:dyDescent="0.3">
      <c r="A88" s="28" t="s">
        <v>81</v>
      </c>
      <c r="B88">
        <v>100</v>
      </c>
    </row>
    <row r="89" spans="1:2" x14ac:dyDescent="0.3">
      <c r="A89" s="27" t="s">
        <v>87</v>
      </c>
      <c r="B89">
        <v>100</v>
      </c>
    </row>
    <row r="90" spans="1:2" x14ac:dyDescent="0.3">
      <c r="A90" s="28" t="s">
        <v>105</v>
      </c>
      <c r="B90">
        <v>100</v>
      </c>
    </row>
    <row r="91" spans="1:2" x14ac:dyDescent="0.3">
      <c r="A91" s="27" t="s">
        <v>89</v>
      </c>
      <c r="B91">
        <v>100</v>
      </c>
    </row>
    <row r="92" spans="1:2" x14ac:dyDescent="0.3">
      <c r="A92" s="27" t="s">
        <v>92</v>
      </c>
      <c r="B92">
        <v>100</v>
      </c>
    </row>
    <row r="93" spans="1:2" x14ac:dyDescent="0.3">
      <c r="A93" s="27" t="s">
        <v>102</v>
      </c>
      <c r="B93">
        <v>100</v>
      </c>
    </row>
    <row r="94" spans="1:2" x14ac:dyDescent="0.3">
      <c r="A94" s="27" t="s">
        <v>90</v>
      </c>
      <c r="B94">
        <v>100</v>
      </c>
    </row>
    <row r="95" spans="1:2" x14ac:dyDescent="0.3">
      <c r="A95" s="27" t="s">
        <v>91</v>
      </c>
      <c r="B95">
        <v>100</v>
      </c>
    </row>
    <row r="96" spans="1:2" x14ac:dyDescent="0.3">
      <c r="A96" s="27" t="s">
        <v>101</v>
      </c>
      <c r="B96">
        <v>100</v>
      </c>
    </row>
    <row r="97" spans="1:2" x14ac:dyDescent="0.3">
      <c r="A97" s="28" t="s">
        <v>94</v>
      </c>
      <c r="B97">
        <v>100</v>
      </c>
    </row>
    <row r="98" spans="1:2" x14ac:dyDescent="0.3">
      <c r="A98" s="28" t="s">
        <v>95</v>
      </c>
      <c r="B98">
        <v>100</v>
      </c>
    </row>
    <row r="99" spans="1:2" x14ac:dyDescent="0.3">
      <c r="A99" s="27" t="s">
        <v>96</v>
      </c>
      <c r="B99">
        <v>100</v>
      </c>
    </row>
    <row r="100" spans="1:2" x14ac:dyDescent="0.3">
      <c r="A100" s="27" t="s">
        <v>97</v>
      </c>
      <c r="B100">
        <v>100</v>
      </c>
    </row>
    <row r="101" spans="1:2" x14ac:dyDescent="0.3">
      <c r="A101" s="27" t="s">
        <v>98</v>
      </c>
      <c r="B101">
        <v>100</v>
      </c>
    </row>
    <row r="102" spans="1:2" x14ac:dyDescent="0.3">
      <c r="A102" s="27" t="s">
        <v>83</v>
      </c>
      <c r="B102">
        <v>100</v>
      </c>
    </row>
    <row r="103" spans="1:2" x14ac:dyDescent="0.3">
      <c r="A103" s="27" t="s">
        <v>78</v>
      </c>
      <c r="B103">
        <v>100</v>
      </c>
    </row>
    <row r="104" spans="1:2" x14ac:dyDescent="0.3">
      <c r="A104" s="27" t="s">
        <v>79</v>
      </c>
      <c r="B104">
        <v>100</v>
      </c>
    </row>
    <row r="105" spans="1:2" x14ac:dyDescent="0.3">
      <c r="A105" s="28" t="s">
        <v>80</v>
      </c>
      <c r="B105">
        <v>100</v>
      </c>
    </row>
    <row r="106" spans="1:2" x14ac:dyDescent="0.3">
      <c r="A106" s="28" t="s">
        <v>81</v>
      </c>
      <c r="B106">
        <v>100</v>
      </c>
    </row>
    <row r="107" spans="1:2" x14ac:dyDescent="0.3">
      <c r="A107" s="27" t="s">
        <v>99</v>
      </c>
      <c r="B107">
        <v>100</v>
      </c>
    </row>
    <row r="108" spans="1:2" x14ac:dyDescent="0.3">
      <c r="A108" s="27" t="s">
        <v>105</v>
      </c>
      <c r="B108">
        <v>100</v>
      </c>
    </row>
    <row r="109" spans="1:2" x14ac:dyDescent="0.3">
      <c r="A109" s="27" t="s">
        <v>89</v>
      </c>
      <c r="B109">
        <v>100</v>
      </c>
    </row>
    <row r="110" spans="1:2" x14ac:dyDescent="0.3">
      <c r="A110" s="27" t="s">
        <v>106</v>
      </c>
      <c r="B110">
        <v>100</v>
      </c>
    </row>
    <row r="111" spans="1:2" x14ac:dyDescent="0.3">
      <c r="A111" s="27" t="s">
        <v>107</v>
      </c>
      <c r="B111">
        <v>100</v>
      </c>
    </row>
    <row r="112" spans="1:2" x14ac:dyDescent="0.3">
      <c r="A112" s="27" t="s">
        <v>108</v>
      </c>
      <c r="B112">
        <v>100</v>
      </c>
    </row>
    <row r="113" spans="1:2" x14ac:dyDescent="0.3">
      <c r="A113" s="27" t="s">
        <v>109</v>
      </c>
      <c r="B113">
        <v>100</v>
      </c>
    </row>
    <row r="114" spans="1:2" x14ac:dyDescent="0.3">
      <c r="A114" s="27" t="s">
        <v>102</v>
      </c>
      <c r="B114">
        <v>100</v>
      </c>
    </row>
    <row r="115" spans="1:2" x14ac:dyDescent="0.3">
      <c r="A115" s="27" t="s">
        <v>100</v>
      </c>
      <c r="B115">
        <v>100</v>
      </c>
    </row>
    <row r="116" spans="1:2" x14ac:dyDescent="0.3">
      <c r="A116" s="27" t="s">
        <v>101</v>
      </c>
      <c r="B116">
        <v>100</v>
      </c>
    </row>
    <row r="117" spans="1:2" x14ac:dyDescent="0.3">
      <c r="A117" s="28" t="s">
        <v>94</v>
      </c>
      <c r="B117">
        <v>100</v>
      </c>
    </row>
    <row r="118" spans="1:2" x14ac:dyDescent="0.3">
      <c r="A118" s="28" t="s">
        <v>95</v>
      </c>
      <c r="B118">
        <v>100</v>
      </c>
    </row>
    <row r="119" spans="1:2" x14ac:dyDescent="0.3">
      <c r="A119" s="27" t="s">
        <v>96</v>
      </c>
      <c r="B119">
        <v>100</v>
      </c>
    </row>
    <row r="120" spans="1:2" x14ac:dyDescent="0.3">
      <c r="A120" s="27" t="s">
        <v>97</v>
      </c>
      <c r="B120">
        <v>100</v>
      </c>
    </row>
    <row r="121" spans="1:2" x14ac:dyDescent="0.3">
      <c r="A121" s="27" t="s">
        <v>98</v>
      </c>
      <c r="B121">
        <v>100</v>
      </c>
    </row>
    <row r="122" spans="1:2" x14ac:dyDescent="0.3">
      <c r="A122" s="27" t="s">
        <v>83</v>
      </c>
      <c r="B122">
        <v>100</v>
      </c>
    </row>
    <row r="123" spans="1:2" x14ac:dyDescent="0.3">
      <c r="A123" s="27" t="s">
        <v>78</v>
      </c>
      <c r="B123">
        <v>100</v>
      </c>
    </row>
    <row r="124" spans="1:2" x14ac:dyDescent="0.3">
      <c r="A124" s="27" t="s">
        <v>79</v>
      </c>
      <c r="B124">
        <v>100</v>
      </c>
    </row>
    <row r="125" spans="1:2" x14ac:dyDescent="0.3">
      <c r="A125" s="27" t="s">
        <v>99</v>
      </c>
      <c r="B125">
        <v>100</v>
      </c>
    </row>
    <row r="126" spans="1:2" x14ac:dyDescent="0.3">
      <c r="A126" s="28" t="s">
        <v>105</v>
      </c>
      <c r="B126">
        <v>100</v>
      </c>
    </row>
    <row r="127" spans="1:2" x14ac:dyDescent="0.3">
      <c r="A127" s="27" t="s">
        <v>89</v>
      </c>
      <c r="B127">
        <v>100</v>
      </c>
    </row>
    <row r="128" spans="1:2" x14ac:dyDescent="0.3">
      <c r="A128" s="27" t="s">
        <v>102</v>
      </c>
      <c r="B128">
        <v>100</v>
      </c>
    </row>
    <row r="129" spans="1:2" x14ac:dyDescent="0.3">
      <c r="A129" s="27" t="s">
        <v>90</v>
      </c>
      <c r="B129">
        <v>100</v>
      </c>
    </row>
    <row r="130" spans="1:2" x14ac:dyDescent="0.3">
      <c r="A130" s="27" t="s">
        <v>91</v>
      </c>
      <c r="B130">
        <v>100</v>
      </c>
    </row>
    <row r="131" spans="1:2" x14ac:dyDescent="0.3">
      <c r="A131" s="27" t="s">
        <v>101</v>
      </c>
      <c r="B131">
        <v>100</v>
      </c>
    </row>
    <row r="132" spans="1:2" x14ac:dyDescent="0.3">
      <c r="A132" s="28" t="s">
        <v>94</v>
      </c>
      <c r="B132">
        <v>100</v>
      </c>
    </row>
    <row r="133" spans="1:2" x14ac:dyDescent="0.3">
      <c r="A133" s="28" t="s">
        <v>95</v>
      </c>
      <c r="B133">
        <v>100</v>
      </c>
    </row>
    <row r="134" spans="1:2" x14ac:dyDescent="0.3">
      <c r="A134" s="27" t="s">
        <v>122</v>
      </c>
      <c r="B134">
        <v>100</v>
      </c>
    </row>
    <row r="135" spans="1:2" x14ac:dyDescent="0.3">
      <c r="A135" s="27" t="s">
        <v>97</v>
      </c>
      <c r="B135">
        <v>100</v>
      </c>
    </row>
    <row r="136" spans="1:2" x14ac:dyDescent="0.3">
      <c r="A136" s="27" t="s">
        <v>98</v>
      </c>
      <c r="B136">
        <v>100</v>
      </c>
    </row>
    <row r="137" spans="1:2" x14ac:dyDescent="0.3">
      <c r="A137" s="27" t="s">
        <v>83</v>
      </c>
      <c r="B137">
        <v>100</v>
      </c>
    </row>
    <row r="138" spans="1:2" x14ac:dyDescent="0.3">
      <c r="A138" s="27" t="s">
        <v>123</v>
      </c>
      <c r="B138">
        <v>100</v>
      </c>
    </row>
    <row r="139" spans="1:2" x14ac:dyDescent="0.3">
      <c r="A139" s="28" t="s">
        <v>124</v>
      </c>
      <c r="B139">
        <v>100</v>
      </c>
    </row>
    <row r="140" spans="1:2" x14ac:dyDescent="0.3">
      <c r="A140" s="28" t="s">
        <v>125</v>
      </c>
      <c r="B140">
        <v>100</v>
      </c>
    </row>
    <row r="141" spans="1:2" x14ac:dyDescent="0.3">
      <c r="A141" s="28" t="s">
        <v>95</v>
      </c>
      <c r="B141">
        <v>100</v>
      </c>
    </row>
    <row r="142" spans="1:2" x14ac:dyDescent="0.3">
      <c r="A142" s="27" t="s">
        <v>101</v>
      </c>
      <c r="B142">
        <v>100</v>
      </c>
    </row>
    <row r="143" spans="1:2" x14ac:dyDescent="0.3">
      <c r="A143" s="27" t="s">
        <v>96</v>
      </c>
      <c r="B143">
        <v>100</v>
      </c>
    </row>
    <row r="144" spans="1:2" x14ac:dyDescent="0.3">
      <c r="A144" s="27" t="s">
        <v>90</v>
      </c>
      <c r="B144">
        <v>100</v>
      </c>
    </row>
    <row r="145" spans="1:2" x14ac:dyDescent="0.3">
      <c r="A145" s="27" t="s">
        <v>89</v>
      </c>
      <c r="B145">
        <v>100</v>
      </c>
    </row>
    <row r="146" spans="1:2" x14ac:dyDescent="0.3">
      <c r="A146" s="27" t="s">
        <v>88</v>
      </c>
      <c r="B146">
        <v>100</v>
      </c>
    </row>
    <row r="147" spans="1:2" x14ac:dyDescent="0.3">
      <c r="A147" s="27" t="s">
        <v>79</v>
      </c>
      <c r="B147">
        <v>100</v>
      </c>
    </row>
    <row r="148" spans="1:2" x14ac:dyDescent="0.3">
      <c r="A148" s="27" t="s">
        <v>78</v>
      </c>
      <c r="B148">
        <v>100</v>
      </c>
    </row>
    <row r="149" spans="1:2" x14ac:dyDescent="0.3">
      <c r="A149" s="28" t="s">
        <v>113</v>
      </c>
      <c r="B149">
        <v>100</v>
      </c>
    </row>
    <row r="150" spans="1:2" x14ac:dyDescent="0.3">
      <c r="A150" s="27" t="s">
        <v>92</v>
      </c>
      <c r="B150">
        <v>100</v>
      </c>
    </row>
    <row r="151" spans="1:2" x14ac:dyDescent="0.3">
      <c r="A151" s="27" t="s">
        <v>91</v>
      </c>
      <c r="B151">
        <v>100</v>
      </c>
    </row>
    <row r="152" spans="1:2" x14ac:dyDescent="0.3">
      <c r="A152" s="28" t="s">
        <v>94</v>
      </c>
      <c r="B152">
        <v>100</v>
      </c>
    </row>
    <row r="153" spans="1:2" x14ac:dyDescent="0.3">
      <c r="A153" s="27" t="s">
        <v>98</v>
      </c>
      <c r="B153">
        <v>100</v>
      </c>
    </row>
    <row r="154" spans="1:2" x14ac:dyDescent="0.3">
      <c r="A154" s="27" t="s">
        <v>97</v>
      </c>
      <c r="B154">
        <v>100</v>
      </c>
    </row>
    <row r="155" spans="1:2" x14ac:dyDescent="0.3">
      <c r="A155" s="27" t="s">
        <v>126</v>
      </c>
      <c r="B155">
        <v>100</v>
      </c>
    </row>
    <row r="156" spans="1:2" x14ac:dyDescent="0.3">
      <c r="A156" s="27" t="s">
        <v>78</v>
      </c>
      <c r="B156">
        <v>100</v>
      </c>
    </row>
    <row r="157" spans="1:2" x14ac:dyDescent="0.3">
      <c r="A157" s="27" t="s">
        <v>79</v>
      </c>
      <c r="B157">
        <v>100</v>
      </c>
    </row>
    <row r="158" spans="1:2" x14ac:dyDescent="0.3">
      <c r="A158" s="28" t="s">
        <v>80</v>
      </c>
      <c r="B158">
        <v>100</v>
      </c>
    </row>
    <row r="159" spans="1:2" x14ac:dyDescent="0.3">
      <c r="A159" s="28" t="s">
        <v>81</v>
      </c>
      <c r="B159">
        <v>100</v>
      </c>
    </row>
    <row r="160" spans="1:2" x14ac:dyDescent="0.3">
      <c r="A160" s="27" t="s">
        <v>99</v>
      </c>
      <c r="B160">
        <v>100</v>
      </c>
    </row>
    <row r="161" spans="1:2" x14ac:dyDescent="0.3">
      <c r="A161" s="27" t="s">
        <v>88</v>
      </c>
      <c r="B161">
        <v>100</v>
      </c>
    </row>
    <row r="162" spans="1:2" x14ac:dyDescent="0.3">
      <c r="A162" s="27" t="s">
        <v>89</v>
      </c>
      <c r="B162">
        <v>100</v>
      </c>
    </row>
    <row r="163" spans="1:2" x14ac:dyDescent="0.3">
      <c r="A163" s="27" t="s">
        <v>85</v>
      </c>
      <c r="B163">
        <v>100</v>
      </c>
    </row>
    <row r="164" spans="1:2" x14ac:dyDescent="0.3">
      <c r="A164" s="27" t="s">
        <v>100</v>
      </c>
      <c r="B164">
        <v>100</v>
      </c>
    </row>
    <row r="165" spans="1:2" x14ac:dyDescent="0.3">
      <c r="A165" s="27" t="s">
        <v>101</v>
      </c>
      <c r="B165">
        <v>100</v>
      </c>
    </row>
    <row r="166" spans="1:2" x14ac:dyDescent="0.3">
      <c r="A166" s="28" t="s">
        <v>94</v>
      </c>
      <c r="B166">
        <v>100</v>
      </c>
    </row>
    <row r="167" spans="1:2" x14ac:dyDescent="0.3">
      <c r="A167" s="28" t="s">
        <v>95</v>
      </c>
      <c r="B167">
        <v>100</v>
      </c>
    </row>
    <row r="168" spans="1:2" x14ac:dyDescent="0.3">
      <c r="A168" s="27" t="s">
        <v>96</v>
      </c>
      <c r="B168">
        <v>100</v>
      </c>
    </row>
    <row r="169" spans="1:2" x14ac:dyDescent="0.3">
      <c r="A169" s="28" t="s">
        <v>113</v>
      </c>
      <c r="B169">
        <v>100</v>
      </c>
    </row>
    <row r="170" spans="1:2" x14ac:dyDescent="0.3">
      <c r="A170" s="27" t="s">
        <v>97</v>
      </c>
      <c r="B170">
        <v>100</v>
      </c>
    </row>
    <row r="171" spans="1:2" x14ac:dyDescent="0.3">
      <c r="A171" s="27" t="s">
        <v>98</v>
      </c>
      <c r="B171">
        <v>100</v>
      </c>
    </row>
    <row r="172" spans="1:2" x14ac:dyDescent="0.3">
      <c r="A172" s="27" t="s">
        <v>126</v>
      </c>
      <c r="B172">
        <v>100</v>
      </c>
    </row>
    <row r="173" spans="1:2" x14ac:dyDescent="0.3">
      <c r="A173" s="27" t="s">
        <v>78</v>
      </c>
      <c r="B173">
        <v>100</v>
      </c>
    </row>
    <row r="174" spans="1:2" x14ac:dyDescent="0.3">
      <c r="A174" s="27" t="s">
        <v>79</v>
      </c>
      <c r="B174">
        <v>100</v>
      </c>
    </row>
    <row r="175" spans="1:2" x14ac:dyDescent="0.3">
      <c r="A175" s="28" t="s">
        <v>80</v>
      </c>
      <c r="B175">
        <v>100</v>
      </c>
    </row>
    <row r="176" spans="1:2" x14ac:dyDescent="0.3">
      <c r="A176" s="28" t="s">
        <v>81</v>
      </c>
      <c r="B176">
        <v>100</v>
      </c>
    </row>
    <row r="177" spans="1:2" x14ac:dyDescent="0.3">
      <c r="A177" s="27" t="s">
        <v>87</v>
      </c>
      <c r="B177">
        <v>100</v>
      </c>
    </row>
    <row r="178" spans="1:2" x14ac:dyDescent="0.3">
      <c r="A178" s="27" t="s">
        <v>88</v>
      </c>
      <c r="B178">
        <v>100</v>
      </c>
    </row>
    <row r="179" spans="1:2" x14ac:dyDescent="0.3">
      <c r="A179" s="27" t="s">
        <v>89</v>
      </c>
      <c r="B179">
        <v>100</v>
      </c>
    </row>
    <row r="180" spans="1:2" x14ac:dyDescent="0.3">
      <c r="A180" s="27" t="s">
        <v>92</v>
      </c>
      <c r="B180">
        <v>100</v>
      </c>
    </row>
    <row r="181" spans="1:2" x14ac:dyDescent="0.3">
      <c r="A181" s="27" t="s">
        <v>86</v>
      </c>
      <c r="B181">
        <v>100</v>
      </c>
    </row>
    <row r="182" spans="1:2" x14ac:dyDescent="0.3">
      <c r="A182" s="27" t="s">
        <v>102</v>
      </c>
      <c r="B182">
        <v>100</v>
      </c>
    </row>
    <row r="183" spans="1:2" x14ac:dyDescent="0.3">
      <c r="A183" s="27" t="s">
        <v>93</v>
      </c>
      <c r="B183">
        <v>100</v>
      </c>
    </row>
    <row r="184" spans="1:2" x14ac:dyDescent="0.3">
      <c r="A184" s="28" t="s">
        <v>94</v>
      </c>
      <c r="B184">
        <v>100</v>
      </c>
    </row>
    <row r="185" spans="1:2" x14ac:dyDescent="0.3">
      <c r="A185" s="28" t="s">
        <v>95</v>
      </c>
      <c r="B185">
        <v>100</v>
      </c>
    </row>
    <row r="186" spans="1:2" x14ac:dyDescent="0.3">
      <c r="A186" s="27" t="s">
        <v>96</v>
      </c>
      <c r="B186">
        <v>100</v>
      </c>
    </row>
    <row r="187" spans="1:2" x14ac:dyDescent="0.3">
      <c r="A187" s="28" t="s">
        <v>113</v>
      </c>
      <c r="B187">
        <v>100</v>
      </c>
    </row>
    <row r="188" spans="1:2" x14ac:dyDescent="0.3">
      <c r="A188" s="27" t="s">
        <v>97</v>
      </c>
      <c r="B188">
        <v>100</v>
      </c>
    </row>
    <row r="189" spans="1:2" x14ac:dyDescent="0.3">
      <c r="A189" s="27" t="s">
        <v>98</v>
      </c>
      <c r="B189">
        <v>100</v>
      </c>
    </row>
    <row r="190" spans="1:2" x14ac:dyDescent="0.3">
      <c r="A190" s="27" t="s">
        <v>83</v>
      </c>
      <c r="B190">
        <v>100</v>
      </c>
    </row>
    <row r="191" spans="1:2" x14ac:dyDescent="0.3">
      <c r="A191" s="27" t="s">
        <v>78</v>
      </c>
      <c r="B191">
        <v>100</v>
      </c>
    </row>
    <row r="192" spans="1:2" x14ac:dyDescent="0.3">
      <c r="A192" s="27" t="s">
        <v>79</v>
      </c>
      <c r="B192">
        <v>100</v>
      </c>
    </row>
    <row r="193" spans="1:2" x14ac:dyDescent="0.3">
      <c r="A193" s="28" t="s">
        <v>80</v>
      </c>
      <c r="B193">
        <v>100</v>
      </c>
    </row>
    <row r="194" spans="1:2" x14ac:dyDescent="0.3">
      <c r="A194" s="28" t="s">
        <v>81</v>
      </c>
      <c r="B194">
        <v>100</v>
      </c>
    </row>
    <row r="195" spans="1:2" x14ac:dyDescent="0.3">
      <c r="A195" s="27" t="s">
        <v>99</v>
      </c>
      <c r="B195">
        <v>100</v>
      </c>
    </row>
    <row r="196" spans="1:2" x14ac:dyDescent="0.3">
      <c r="A196" s="28" t="s">
        <v>105</v>
      </c>
      <c r="B196">
        <v>100</v>
      </c>
    </row>
    <row r="197" spans="1:2" x14ac:dyDescent="0.3">
      <c r="A197" s="27" t="s">
        <v>89</v>
      </c>
      <c r="B197">
        <v>100</v>
      </c>
    </row>
    <row r="198" spans="1:2" x14ac:dyDescent="0.3">
      <c r="A198" s="27" t="s">
        <v>85</v>
      </c>
      <c r="B198">
        <v>100</v>
      </c>
    </row>
    <row r="199" spans="1:2" x14ac:dyDescent="0.3">
      <c r="A199" s="27" t="s">
        <v>100</v>
      </c>
      <c r="B199">
        <v>100</v>
      </c>
    </row>
    <row r="200" spans="1:2" x14ac:dyDescent="0.3">
      <c r="A200" s="27" t="s">
        <v>101</v>
      </c>
      <c r="B200">
        <v>100</v>
      </c>
    </row>
    <row r="201" spans="1:2" x14ac:dyDescent="0.3">
      <c r="A201" s="28" t="s">
        <v>94</v>
      </c>
      <c r="B201">
        <v>100</v>
      </c>
    </row>
    <row r="202" spans="1:2" x14ac:dyDescent="0.3">
      <c r="A202" s="28" t="s">
        <v>95</v>
      </c>
      <c r="B202">
        <v>100</v>
      </c>
    </row>
    <row r="203" spans="1:2" x14ac:dyDescent="0.3">
      <c r="A203" s="27" t="s">
        <v>96</v>
      </c>
      <c r="B203">
        <v>100</v>
      </c>
    </row>
    <row r="204" spans="1:2" x14ac:dyDescent="0.3">
      <c r="A204" s="28" t="s">
        <v>113</v>
      </c>
      <c r="B204">
        <v>100</v>
      </c>
    </row>
    <row r="205" spans="1:2" x14ac:dyDescent="0.3">
      <c r="A205" s="27" t="s">
        <v>97</v>
      </c>
      <c r="B205">
        <v>100</v>
      </c>
    </row>
    <row r="206" spans="1:2" x14ac:dyDescent="0.3">
      <c r="A206" s="27" t="s">
        <v>98</v>
      </c>
      <c r="B206">
        <v>100</v>
      </c>
    </row>
    <row r="207" spans="1:2" x14ac:dyDescent="0.3">
      <c r="A207" s="27" t="s">
        <v>83</v>
      </c>
      <c r="B207">
        <v>100</v>
      </c>
    </row>
    <row r="208" spans="1:2" x14ac:dyDescent="0.3">
      <c r="A208" s="27" t="s">
        <v>78</v>
      </c>
      <c r="B208">
        <v>100</v>
      </c>
    </row>
    <row r="209" spans="1:2" x14ac:dyDescent="0.3">
      <c r="A209" s="27" t="s">
        <v>79</v>
      </c>
      <c r="B209">
        <v>100</v>
      </c>
    </row>
    <row r="210" spans="1:2" x14ac:dyDescent="0.3">
      <c r="A210" s="28" t="s">
        <v>80</v>
      </c>
      <c r="B210">
        <v>100</v>
      </c>
    </row>
    <row r="211" spans="1:2" x14ac:dyDescent="0.3">
      <c r="A211" s="28" t="s">
        <v>81</v>
      </c>
      <c r="B211">
        <v>100</v>
      </c>
    </row>
    <row r="212" spans="1:2" x14ac:dyDescent="0.3">
      <c r="A212" s="27" t="s">
        <v>99</v>
      </c>
      <c r="B212">
        <v>100</v>
      </c>
    </row>
    <row r="213" spans="1:2" x14ac:dyDescent="0.3">
      <c r="A213" s="27" t="s">
        <v>105</v>
      </c>
      <c r="B213">
        <v>100</v>
      </c>
    </row>
    <row r="214" spans="1:2" x14ac:dyDescent="0.3">
      <c r="A214" s="27" t="s">
        <v>89</v>
      </c>
      <c r="B214">
        <v>100</v>
      </c>
    </row>
    <row r="215" spans="1:2" x14ac:dyDescent="0.3">
      <c r="A215" s="27" t="s">
        <v>106</v>
      </c>
      <c r="B215">
        <v>100</v>
      </c>
    </row>
    <row r="216" spans="1:2" x14ac:dyDescent="0.3">
      <c r="A216" s="27" t="s">
        <v>107</v>
      </c>
      <c r="B216">
        <v>100</v>
      </c>
    </row>
    <row r="217" spans="1:2" x14ac:dyDescent="0.3">
      <c r="A217" s="27" t="s">
        <v>108</v>
      </c>
      <c r="B217">
        <v>100</v>
      </c>
    </row>
    <row r="218" spans="1:2" x14ac:dyDescent="0.3">
      <c r="A218" s="27" t="s">
        <v>109</v>
      </c>
      <c r="B218">
        <v>100</v>
      </c>
    </row>
    <row r="219" spans="1:2" x14ac:dyDescent="0.3">
      <c r="A219" s="27" t="s">
        <v>102</v>
      </c>
      <c r="B219">
        <v>100</v>
      </c>
    </row>
    <row r="220" spans="1:2" x14ac:dyDescent="0.3">
      <c r="A220" s="27" t="s">
        <v>100</v>
      </c>
      <c r="B220">
        <v>100</v>
      </c>
    </row>
    <row r="221" spans="1:2" x14ac:dyDescent="0.3">
      <c r="A221" s="27" t="s">
        <v>101</v>
      </c>
      <c r="B221">
        <v>100</v>
      </c>
    </row>
    <row r="222" spans="1:2" x14ac:dyDescent="0.3">
      <c r="A222" s="28" t="s">
        <v>94</v>
      </c>
      <c r="B222">
        <v>100</v>
      </c>
    </row>
    <row r="223" spans="1:2" x14ac:dyDescent="0.3">
      <c r="A223" s="28" t="s">
        <v>95</v>
      </c>
      <c r="B223">
        <v>100</v>
      </c>
    </row>
    <row r="224" spans="1:2" x14ac:dyDescent="0.3">
      <c r="A224" s="27" t="s">
        <v>96</v>
      </c>
      <c r="B224">
        <v>100</v>
      </c>
    </row>
    <row r="225" spans="1:2" x14ac:dyDescent="0.3">
      <c r="A225" s="28" t="s">
        <v>113</v>
      </c>
      <c r="B225">
        <v>100</v>
      </c>
    </row>
    <row r="226" spans="1:2" x14ac:dyDescent="0.3">
      <c r="A226" s="27" t="s">
        <v>97</v>
      </c>
      <c r="B226">
        <v>100</v>
      </c>
    </row>
    <row r="227" spans="1:2" x14ac:dyDescent="0.3">
      <c r="A227" s="27" t="s">
        <v>98</v>
      </c>
      <c r="B227">
        <v>100</v>
      </c>
    </row>
    <row r="228" spans="1:2" x14ac:dyDescent="0.3">
      <c r="A228" s="27" t="s">
        <v>83</v>
      </c>
      <c r="B228">
        <v>100</v>
      </c>
    </row>
    <row r="229" spans="1:2" x14ac:dyDescent="0.3">
      <c r="A229" s="29" t="s">
        <v>129</v>
      </c>
      <c r="B229">
        <v>100</v>
      </c>
    </row>
    <row r="230" spans="1:2" x14ac:dyDescent="0.3">
      <c r="A230" s="29" t="s">
        <v>130</v>
      </c>
      <c r="B230">
        <v>100</v>
      </c>
    </row>
    <row r="231" spans="1:2" x14ac:dyDescent="0.3">
      <c r="A231" s="29" t="s">
        <v>133</v>
      </c>
      <c r="B231">
        <v>100</v>
      </c>
    </row>
    <row r="232" spans="1:2" x14ac:dyDescent="0.3">
      <c r="A232" s="29" t="s">
        <v>134</v>
      </c>
      <c r="B232">
        <v>100</v>
      </c>
    </row>
    <row r="233" spans="1:2" x14ac:dyDescent="0.3">
      <c r="A233" s="29" t="s">
        <v>131</v>
      </c>
      <c r="B233">
        <v>100</v>
      </c>
    </row>
    <row r="234" spans="1:2" x14ac:dyDescent="0.3">
      <c r="A234" s="29" t="s">
        <v>135</v>
      </c>
      <c r="B234">
        <v>100</v>
      </c>
    </row>
    <row r="235" spans="1:2" x14ac:dyDescent="0.3">
      <c r="A235" s="29" t="s">
        <v>132</v>
      </c>
      <c r="B235">
        <v>100</v>
      </c>
    </row>
    <row r="236" spans="1:2" x14ac:dyDescent="0.3">
      <c r="A236" s="30" t="s">
        <v>98</v>
      </c>
      <c r="B236">
        <v>100</v>
      </c>
    </row>
    <row r="237" spans="1:2" x14ac:dyDescent="0.3">
      <c r="A237" s="30" t="s">
        <v>83</v>
      </c>
      <c r="B237">
        <v>100</v>
      </c>
    </row>
    <row r="238" spans="1:2" x14ac:dyDescent="0.3">
      <c r="A238" s="29" t="s">
        <v>136</v>
      </c>
      <c r="B238">
        <v>100</v>
      </c>
    </row>
    <row r="239" spans="1:2" x14ac:dyDescent="0.3">
      <c r="A239" s="29" t="s">
        <v>84</v>
      </c>
      <c r="B239">
        <v>100</v>
      </c>
    </row>
    <row r="240" spans="1:2" x14ac:dyDescent="0.3">
      <c r="A240" s="29" t="s">
        <v>141</v>
      </c>
      <c r="B240">
        <v>100</v>
      </c>
    </row>
    <row r="241" spans="1:2" x14ac:dyDescent="0.3">
      <c r="A241" s="29" t="s">
        <v>138</v>
      </c>
      <c r="B241">
        <v>100</v>
      </c>
    </row>
    <row r="242" spans="1:2" x14ac:dyDescent="0.3">
      <c r="A242" s="29" t="s">
        <v>142</v>
      </c>
      <c r="B242">
        <v>100</v>
      </c>
    </row>
    <row r="243" spans="1:2" x14ac:dyDescent="0.3">
      <c r="A243" s="29" t="s">
        <v>139</v>
      </c>
      <c r="B243">
        <v>100</v>
      </c>
    </row>
    <row r="244" spans="1:2" x14ac:dyDescent="0.3">
      <c r="A244" s="30" t="s">
        <v>98</v>
      </c>
      <c r="B244">
        <v>100</v>
      </c>
    </row>
    <row r="245" spans="1:2" x14ac:dyDescent="0.3">
      <c r="A245" s="30" t="s">
        <v>83</v>
      </c>
      <c r="B245">
        <v>100</v>
      </c>
    </row>
    <row r="246" spans="1:2" x14ac:dyDescent="0.3">
      <c r="A246" s="29" t="s">
        <v>136</v>
      </c>
      <c r="B246">
        <v>100</v>
      </c>
    </row>
    <row r="247" spans="1:2" x14ac:dyDescent="0.3">
      <c r="A247" s="29" t="s">
        <v>84</v>
      </c>
      <c r="B247">
        <v>100</v>
      </c>
    </row>
    <row r="248" spans="1:2" x14ac:dyDescent="0.3">
      <c r="A248" s="29" t="s">
        <v>141</v>
      </c>
      <c r="B248">
        <v>100</v>
      </c>
    </row>
    <row r="249" spans="1:2" x14ac:dyDescent="0.3">
      <c r="A249" s="29" t="s">
        <v>138</v>
      </c>
      <c r="B249">
        <v>100</v>
      </c>
    </row>
    <row r="250" spans="1:2" x14ac:dyDescent="0.3">
      <c r="A250" s="29" t="s">
        <v>142</v>
      </c>
      <c r="B250">
        <v>100</v>
      </c>
    </row>
    <row r="251" spans="1:2" x14ac:dyDescent="0.3">
      <c r="A251" s="29" t="s">
        <v>143</v>
      </c>
      <c r="B251">
        <v>100</v>
      </c>
    </row>
    <row r="252" spans="1:2" x14ac:dyDescent="0.3">
      <c r="A252" s="29" t="s">
        <v>119</v>
      </c>
      <c r="B252">
        <v>100</v>
      </c>
    </row>
    <row r="253" spans="1:2" x14ac:dyDescent="0.3">
      <c r="A253" s="30" t="s">
        <v>98</v>
      </c>
      <c r="B253">
        <v>100</v>
      </c>
    </row>
    <row r="254" spans="1:2" x14ac:dyDescent="0.3">
      <c r="A254" s="30" t="s">
        <v>83</v>
      </c>
      <c r="B254">
        <v>100</v>
      </c>
    </row>
    <row r="255" spans="1:2" x14ac:dyDescent="0.3">
      <c r="A255" s="29" t="s">
        <v>136</v>
      </c>
      <c r="B255">
        <v>100</v>
      </c>
    </row>
    <row r="256" spans="1:2" x14ac:dyDescent="0.3">
      <c r="A256" s="29" t="s">
        <v>171</v>
      </c>
      <c r="B256">
        <v>100</v>
      </c>
    </row>
    <row r="257" spans="1:2" x14ac:dyDescent="0.3">
      <c r="A257" s="29" t="s">
        <v>182</v>
      </c>
      <c r="B257">
        <v>100</v>
      </c>
    </row>
    <row r="258" spans="1:2" x14ac:dyDescent="0.3">
      <c r="A258" s="29" t="s">
        <v>183</v>
      </c>
      <c r="B258">
        <v>100</v>
      </c>
    </row>
    <row r="259" spans="1:2" x14ac:dyDescent="0.3">
      <c r="A259" s="29" t="s">
        <v>128</v>
      </c>
      <c r="B259">
        <v>100</v>
      </c>
    </row>
    <row r="260" spans="1:2" x14ac:dyDescent="0.3">
      <c r="A260" s="29" t="s">
        <v>127</v>
      </c>
      <c r="B260">
        <v>100</v>
      </c>
    </row>
    <row r="261" spans="1:2" x14ac:dyDescent="0.3">
      <c r="A261" s="29" t="s">
        <v>98</v>
      </c>
      <c r="B261">
        <v>100</v>
      </c>
    </row>
    <row r="262" spans="1:2" x14ac:dyDescent="0.3">
      <c r="A262" s="29" t="s">
        <v>83</v>
      </c>
      <c r="B262">
        <v>100</v>
      </c>
    </row>
    <row r="263" spans="1:2" x14ac:dyDescent="0.3">
      <c r="A263" s="29" t="s">
        <v>136</v>
      </c>
      <c r="B263">
        <v>100</v>
      </c>
    </row>
    <row r="264" spans="1:2" x14ac:dyDescent="0.3">
      <c r="A264" s="29" t="s">
        <v>171</v>
      </c>
      <c r="B264">
        <v>100</v>
      </c>
    </row>
    <row r="265" spans="1:2" x14ac:dyDescent="0.3">
      <c r="A265" s="29" t="s">
        <v>182</v>
      </c>
      <c r="B265">
        <v>100</v>
      </c>
    </row>
    <row r="266" spans="1:2" x14ac:dyDescent="0.3">
      <c r="A266" s="29" t="s">
        <v>183</v>
      </c>
      <c r="B266">
        <v>100</v>
      </c>
    </row>
    <row r="267" spans="1:2" x14ac:dyDescent="0.3">
      <c r="A267" s="29" t="s">
        <v>128</v>
      </c>
      <c r="B267">
        <v>100</v>
      </c>
    </row>
    <row r="268" spans="1:2" x14ac:dyDescent="0.3">
      <c r="A268" s="29" t="s">
        <v>184</v>
      </c>
      <c r="B268">
        <v>100</v>
      </c>
    </row>
    <row r="269" spans="1:2" x14ac:dyDescent="0.3">
      <c r="A269" s="29" t="s">
        <v>98</v>
      </c>
      <c r="B269">
        <v>100</v>
      </c>
    </row>
    <row r="270" spans="1:2" x14ac:dyDescent="0.3">
      <c r="A270" s="29" t="s">
        <v>83</v>
      </c>
      <c r="B270">
        <v>100</v>
      </c>
    </row>
    <row r="271" spans="1:2" x14ac:dyDescent="0.3">
      <c r="A271" s="29" t="s">
        <v>136</v>
      </c>
      <c r="B271">
        <v>100</v>
      </c>
    </row>
    <row r="272" spans="1:2" x14ac:dyDescent="0.3">
      <c r="A272" s="29" t="s">
        <v>89</v>
      </c>
      <c r="B272">
        <v>100</v>
      </c>
    </row>
    <row r="273" spans="1:2" x14ac:dyDescent="0.3">
      <c r="A273" s="31" t="s">
        <v>127</v>
      </c>
      <c r="B273">
        <v>100</v>
      </c>
    </row>
    <row r="274" spans="1:2" x14ac:dyDescent="0.3">
      <c r="A274" s="29" t="s">
        <v>128</v>
      </c>
      <c r="B274">
        <v>100</v>
      </c>
    </row>
    <row r="275" spans="1:2" x14ac:dyDescent="0.3">
      <c r="A275" s="29" t="s">
        <v>88</v>
      </c>
      <c r="B275">
        <v>100</v>
      </c>
    </row>
    <row r="276" spans="1:2" x14ac:dyDescent="0.3">
      <c r="A276" s="29" t="s">
        <v>98</v>
      </c>
      <c r="B276">
        <v>100</v>
      </c>
    </row>
    <row r="277" spans="1:2" x14ac:dyDescent="0.3">
      <c r="A277" s="29" t="s">
        <v>83</v>
      </c>
      <c r="B277">
        <v>100</v>
      </c>
    </row>
    <row r="278" spans="1:2" x14ac:dyDescent="0.3">
      <c r="A278" s="29" t="s">
        <v>178</v>
      </c>
      <c r="B278">
        <v>100</v>
      </c>
    </row>
    <row r="279" spans="1:2" x14ac:dyDescent="0.3">
      <c r="A279" s="29" t="s">
        <v>175</v>
      </c>
      <c r="B279">
        <v>100</v>
      </c>
    </row>
    <row r="280" spans="1:2" x14ac:dyDescent="0.3">
      <c r="A280" s="29" t="s">
        <v>178</v>
      </c>
      <c r="B280">
        <v>100</v>
      </c>
    </row>
    <row r="281" spans="1:2" x14ac:dyDescent="0.3">
      <c r="A281" s="29" t="s">
        <v>179</v>
      </c>
      <c r="B281">
        <v>100</v>
      </c>
    </row>
    <row r="282" spans="1:2" x14ac:dyDescent="0.3">
      <c r="A282" s="29" t="s">
        <v>99</v>
      </c>
      <c r="B282">
        <v>100</v>
      </c>
    </row>
    <row r="283" spans="1:2" x14ac:dyDescent="0.3">
      <c r="A283" s="30" t="s">
        <v>176</v>
      </c>
      <c r="B283">
        <v>100</v>
      </c>
    </row>
    <row r="284" spans="1:2" x14ac:dyDescent="0.3">
      <c r="A284" s="30" t="s">
        <v>177</v>
      </c>
      <c r="B284">
        <v>100</v>
      </c>
    </row>
    <row r="285" spans="1:2" x14ac:dyDescent="0.3">
      <c r="A285" s="30" t="s">
        <v>98</v>
      </c>
      <c r="B285">
        <v>100</v>
      </c>
    </row>
    <row r="286" spans="1:2" x14ac:dyDescent="0.3">
      <c r="A286" s="30" t="s">
        <v>83</v>
      </c>
      <c r="B286">
        <v>100</v>
      </c>
    </row>
    <row r="287" spans="1:2" x14ac:dyDescent="0.3">
      <c r="A287" s="29" t="s">
        <v>136</v>
      </c>
      <c r="B287">
        <v>100</v>
      </c>
    </row>
    <row r="288" spans="1:2" x14ac:dyDescent="0.3">
      <c r="A288" s="29" t="s">
        <v>84</v>
      </c>
      <c r="B288">
        <v>100</v>
      </c>
    </row>
    <row r="289" spans="1:2" x14ac:dyDescent="0.3">
      <c r="A289" s="29" t="s">
        <v>137</v>
      </c>
      <c r="B289">
        <v>100</v>
      </c>
    </row>
    <row r="290" spans="1:2" x14ac:dyDescent="0.3">
      <c r="A290" s="29" t="s">
        <v>138</v>
      </c>
      <c r="B290">
        <v>100</v>
      </c>
    </row>
    <row r="291" spans="1:2" x14ac:dyDescent="0.3">
      <c r="A291" s="29" t="s">
        <v>139</v>
      </c>
      <c r="B291">
        <v>100</v>
      </c>
    </row>
    <row r="292" spans="1:2" x14ac:dyDescent="0.3">
      <c r="A292" s="30" t="s">
        <v>98</v>
      </c>
      <c r="B292">
        <v>100</v>
      </c>
    </row>
    <row r="293" spans="1:2" x14ac:dyDescent="0.3">
      <c r="A293" s="31" t="s">
        <v>114</v>
      </c>
      <c r="B293">
        <v>100</v>
      </c>
    </row>
    <row r="294" spans="1:2" x14ac:dyDescent="0.3">
      <c r="A294" s="29" t="s">
        <v>136</v>
      </c>
      <c r="B294">
        <v>100</v>
      </c>
    </row>
    <row r="295" spans="1:2" x14ac:dyDescent="0.3">
      <c r="A295" s="29" t="s">
        <v>84</v>
      </c>
      <c r="B295">
        <v>100</v>
      </c>
    </row>
    <row r="296" spans="1:2" x14ac:dyDescent="0.3">
      <c r="A296" s="29" t="s">
        <v>137</v>
      </c>
      <c r="B296">
        <v>100</v>
      </c>
    </row>
    <row r="297" spans="1:2" x14ac:dyDescent="0.3">
      <c r="A297" s="29" t="s">
        <v>138</v>
      </c>
      <c r="B297">
        <v>100</v>
      </c>
    </row>
    <row r="298" spans="1:2" x14ac:dyDescent="0.3">
      <c r="A298" s="29" t="s">
        <v>139</v>
      </c>
      <c r="B298">
        <v>100</v>
      </c>
    </row>
    <row r="299" spans="1:2" x14ac:dyDescent="0.3">
      <c r="A299" s="30" t="s">
        <v>98</v>
      </c>
      <c r="B299">
        <v>100</v>
      </c>
    </row>
    <row r="300" spans="1:2" x14ac:dyDescent="0.3">
      <c r="A300" s="31" t="s">
        <v>114</v>
      </c>
      <c r="B300">
        <v>100</v>
      </c>
    </row>
    <row r="301" spans="1:2" x14ac:dyDescent="0.3">
      <c r="A301" s="29" t="s">
        <v>136</v>
      </c>
      <c r="B301">
        <v>100</v>
      </c>
    </row>
    <row r="302" spans="1:2" x14ac:dyDescent="0.3">
      <c r="A302" s="29" t="s">
        <v>84</v>
      </c>
      <c r="B302">
        <v>100</v>
      </c>
    </row>
    <row r="303" spans="1:2" x14ac:dyDescent="0.3">
      <c r="A303" s="29" t="s">
        <v>141</v>
      </c>
      <c r="B303">
        <v>100</v>
      </c>
    </row>
    <row r="304" spans="1:2" x14ac:dyDescent="0.3">
      <c r="A304" s="29" t="s">
        <v>138</v>
      </c>
      <c r="B304">
        <v>100</v>
      </c>
    </row>
    <row r="305" spans="1:2" x14ac:dyDescent="0.3">
      <c r="A305" s="29" t="s">
        <v>142</v>
      </c>
      <c r="B305">
        <v>100</v>
      </c>
    </row>
    <row r="306" spans="1:2" x14ac:dyDescent="0.3">
      <c r="A306" s="29" t="s">
        <v>139</v>
      </c>
      <c r="B306">
        <v>100</v>
      </c>
    </row>
    <row r="307" spans="1:2" x14ac:dyDescent="0.3">
      <c r="A307" s="30" t="s">
        <v>98</v>
      </c>
      <c r="B307">
        <v>100</v>
      </c>
    </row>
    <row r="308" spans="1:2" x14ac:dyDescent="0.3">
      <c r="A308" s="31" t="s">
        <v>114</v>
      </c>
      <c r="B308">
        <v>100</v>
      </c>
    </row>
    <row r="309" spans="1:2" x14ac:dyDescent="0.3">
      <c r="A309" s="29" t="s">
        <v>136</v>
      </c>
      <c r="B309">
        <v>100</v>
      </c>
    </row>
    <row r="310" spans="1:2" x14ac:dyDescent="0.3">
      <c r="A310" s="29" t="s">
        <v>84</v>
      </c>
      <c r="B310">
        <v>100</v>
      </c>
    </row>
    <row r="311" spans="1:2" x14ac:dyDescent="0.3">
      <c r="A311" s="29" t="s">
        <v>141</v>
      </c>
      <c r="B311">
        <v>100</v>
      </c>
    </row>
    <row r="312" spans="1:2" x14ac:dyDescent="0.3">
      <c r="A312" s="29" t="s">
        <v>138</v>
      </c>
      <c r="B312">
        <v>100</v>
      </c>
    </row>
    <row r="313" spans="1:2" x14ac:dyDescent="0.3">
      <c r="A313" s="29" t="s">
        <v>142</v>
      </c>
      <c r="B313">
        <v>100</v>
      </c>
    </row>
    <row r="314" spans="1:2" x14ac:dyDescent="0.3">
      <c r="A314" s="29" t="s">
        <v>143</v>
      </c>
      <c r="B314">
        <v>100</v>
      </c>
    </row>
    <row r="315" spans="1:2" x14ac:dyDescent="0.3">
      <c r="A315" s="29" t="s">
        <v>119</v>
      </c>
      <c r="B315">
        <v>100</v>
      </c>
    </row>
    <row r="316" spans="1:2" x14ac:dyDescent="0.3">
      <c r="A316" s="30" t="s">
        <v>98</v>
      </c>
      <c r="B316">
        <v>100</v>
      </c>
    </row>
    <row r="317" spans="1:2" x14ac:dyDescent="0.3">
      <c r="A317" s="31" t="s">
        <v>114</v>
      </c>
      <c r="B317">
        <v>100</v>
      </c>
    </row>
    <row r="318" spans="1:2" x14ac:dyDescent="0.3">
      <c r="A318" s="29" t="s">
        <v>136</v>
      </c>
      <c r="B318">
        <v>100</v>
      </c>
    </row>
    <row r="319" spans="1:2" x14ac:dyDescent="0.3">
      <c r="A319" s="29" t="s">
        <v>84</v>
      </c>
      <c r="B319">
        <v>100</v>
      </c>
    </row>
    <row r="320" spans="1:2" x14ac:dyDescent="0.3">
      <c r="A320" s="29" t="s">
        <v>141</v>
      </c>
      <c r="B320">
        <v>100</v>
      </c>
    </row>
    <row r="321" spans="1:2" x14ac:dyDescent="0.3">
      <c r="A321" s="29" t="s">
        <v>138</v>
      </c>
      <c r="B321">
        <v>100</v>
      </c>
    </row>
    <row r="322" spans="1:2" x14ac:dyDescent="0.3">
      <c r="A322" s="29" t="s">
        <v>142</v>
      </c>
      <c r="B322">
        <v>100</v>
      </c>
    </row>
    <row r="323" spans="1:2" x14ac:dyDescent="0.3">
      <c r="A323" s="29" t="s">
        <v>143</v>
      </c>
      <c r="B323">
        <v>100</v>
      </c>
    </row>
    <row r="324" spans="1:2" x14ac:dyDescent="0.3">
      <c r="A324" s="29" t="s">
        <v>119</v>
      </c>
      <c r="B324">
        <v>100</v>
      </c>
    </row>
    <row r="325" spans="1:2" x14ac:dyDescent="0.3">
      <c r="A325" s="30" t="s">
        <v>98</v>
      </c>
      <c r="B325">
        <v>100</v>
      </c>
    </row>
    <row r="326" spans="1:2" x14ac:dyDescent="0.3">
      <c r="A326" s="31" t="s">
        <v>114</v>
      </c>
      <c r="B326">
        <v>100</v>
      </c>
    </row>
    <row r="327" spans="1:2" x14ac:dyDescent="0.3">
      <c r="A327" s="29" t="s">
        <v>136</v>
      </c>
      <c r="B327">
        <v>100</v>
      </c>
    </row>
    <row r="328" spans="1:2" x14ac:dyDescent="0.3">
      <c r="A328" s="29" t="s">
        <v>84</v>
      </c>
      <c r="B328">
        <v>100</v>
      </c>
    </row>
    <row r="329" spans="1:2" x14ac:dyDescent="0.3">
      <c r="A329" s="29" t="s">
        <v>141</v>
      </c>
      <c r="B329">
        <v>100</v>
      </c>
    </row>
    <row r="330" spans="1:2" x14ac:dyDescent="0.3">
      <c r="A330" s="29" t="s">
        <v>138</v>
      </c>
      <c r="B330">
        <v>100</v>
      </c>
    </row>
    <row r="331" spans="1:2" x14ac:dyDescent="0.3">
      <c r="A331" s="29" t="s">
        <v>142</v>
      </c>
      <c r="B331">
        <v>100</v>
      </c>
    </row>
    <row r="332" spans="1:2" x14ac:dyDescent="0.3">
      <c r="A332" s="29" t="s">
        <v>139</v>
      </c>
      <c r="B332">
        <v>100</v>
      </c>
    </row>
    <row r="333" spans="1:2" x14ac:dyDescent="0.3">
      <c r="A333" s="30" t="s">
        <v>98</v>
      </c>
      <c r="B333">
        <v>100</v>
      </c>
    </row>
    <row r="334" spans="1:2" x14ac:dyDescent="0.3">
      <c r="A334" s="31" t="s">
        <v>114</v>
      </c>
      <c r="B334">
        <v>100</v>
      </c>
    </row>
    <row r="335" spans="1:2" x14ac:dyDescent="0.3">
      <c r="A335" s="29" t="s">
        <v>136</v>
      </c>
      <c r="B335">
        <v>100</v>
      </c>
    </row>
    <row r="336" spans="1:2" x14ac:dyDescent="0.3">
      <c r="A336" s="29" t="s">
        <v>84</v>
      </c>
      <c r="B336">
        <v>100</v>
      </c>
    </row>
    <row r="337" spans="1:2" x14ac:dyDescent="0.3">
      <c r="A337" s="29" t="s">
        <v>144</v>
      </c>
      <c r="B337">
        <v>100</v>
      </c>
    </row>
    <row r="338" spans="1:2" x14ac:dyDescent="0.3">
      <c r="A338" s="29" t="s">
        <v>138</v>
      </c>
      <c r="B338">
        <v>100</v>
      </c>
    </row>
    <row r="339" spans="1:2" x14ac:dyDescent="0.3">
      <c r="A339" s="29" t="s">
        <v>142</v>
      </c>
      <c r="B339">
        <v>100</v>
      </c>
    </row>
    <row r="340" spans="1:2" x14ac:dyDescent="0.3">
      <c r="A340" s="29" t="s">
        <v>145</v>
      </c>
      <c r="B340">
        <v>100</v>
      </c>
    </row>
    <row r="341" spans="1:2" x14ac:dyDescent="0.3">
      <c r="A341" s="29" t="s">
        <v>139</v>
      </c>
      <c r="B341">
        <v>100</v>
      </c>
    </row>
    <row r="342" spans="1:2" x14ac:dyDescent="0.3">
      <c r="A342" s="30" t="s">
        <v>98</v>
      </c>
      <c r="B342">
        <v>100</v>
      </c>
    </row>
    <row r="343" spans="1:2" x14ac:dyDescent="0.3">
      <c r="A343" s="31" t="s">
        <v>114</v>
      </c>
      <c r="B343">
        <v>100</v>
      </c>
    </row>
    <row r="344" spans="1:2" x14ac:dyDescent="0.3">
      <c r="A344" s="29" t="s">
        <v>136</v>
      </c>
      <c r="B344">
        <v>100</v>
      </c>
    </row>
    <row r="345" spans="1:2" x14ac:dyDescent="0.3">
      <c r="A345" s="29" t="s">
        <v>84</v>
      </c>
      <c r="B345">
        <v>100</v>
      </c>
    </row>
    <row r="346" spans="1:2" x14ac:dyDescent="0.3">
      <c r="A346" s="29" t="s">
        <v>144</v>
      </c>
      <c r="B346">
        <v>100</v>
      </c>
    </row>
    <row r="347" spans="1:2" x14ac:dyDescent="0.3">
      <c r="A347" s="29" t="s">
        <v>138</v>
      </c>
      <c r="B347">
        <v>100</v>
      </c>
    </row>
    <row r="348" spans="1:2" x14ac:dyDescent="0.3">
      <c r="A348" s="29" t="s">
        <v>142</v>
      </c>
      <c r="B348">
        <v>100</v>
      </c>
    </row>
    <row r="349" spans="1:2" x14ac:dyDescent="0.3">
      <c r="A349" s="29" t="s">
        <v>145</v>
      </c>
      <c r="B349">
        <v>100</v>
      </c>
    </row>
    <row r="350" spans="1:2" x14ac:dyDescent="0.3">
      <c r="A350" s="29" t="s">
        <v>139</v>
      </c>
      <c r="B350">
        <v>100</v>
      </c>
    </row>
    <row r="351" spans="1:2" x14ac:dyDescent="0.3">
      <c r="A351" s="30" t="s">
        <v>98</v>
      </c>
      <c r="B351">
        <v>100</v>
      </c>
    </row>
    <row r="352" spans="1:2" x14ac:dyDescent="0.3">
      <c r="A352" s="31" t="s">
        <v>114</v>
      </c>
      <c r="B352">
        <v>100</v>
      </c>
    </row>
    <row r="353" spans="1:2" x14ac:dyDescent="0.3">
      <c r="A353" s="29" t="s">
        <v>136</v>
      </c>
      <c r="B353">
        <v>100</v>
      </c>
    </row>
    <row r="354" spans="1:2" x14ac:dyDescent="0.3">
      <c r="A354" s="29" t="s">
        <v>84</v>
      </c>
      <c r="B354">
        <v>100</v>
      </c>
    </row>
    <row r="355" spans="1:2" x14ac:dyDescent="0.3">
      <c r="A355" s="29" t="s">
        <v>144</v>
      </c>
      <c r="B355">
        <v>100</v>
      </c>
    </row>
    <row r="356" spans="1:2" x14ac:dyDescent="0.3">
      <c r="A356" s="29" t="s">
        <v>138</v>
      </c>
      <c r="B356">
        <v>100</v>
      </c>
    </row>
    <row r="357" spans="1:2" x14ac:dyDescent="0.3">
      <c r="A357" s="29" t="s">
        <v>142</v>
      </c>
      <c r="B357">
        <v>100</v>
      </c>
    </row>
    <row r="358" spans="1:2" x14ac:dyDescent="0.3">
      <c r="A358" s="29" t="s">
        <v>145</v>
      </c>
      <c r="B358">
        <v>100</v>
      </c>
    </row>
    <row r="359" spans="1:2" x14ac:dyDescent="0.3">
      <c r="A359" s="29" t="s">
        <v>143</v>
      </c>
      <c r="B359">
        <v>100</v>
      </c>
    </row>
    <row r="360" spans="1:2" x14ac:dyDescent="0.3">
      <c r="A360" s="29" t="s">
        <v>119</v>
      </c>
      <c r="B360">
        <v>100</v>
      </c>
    </row>
    <row r="361" spans="1:2" x14ac:dyDescent="0.3">
      <c r="A361" s="30" t="s">
        <v>98</v>
      </c>
      <c r="B361">
        <v>100</v>
      </c>
    </row>
    <row r="362" spans="1:2" x14ac:dyDescent="0.3">
      <c r="A362" s="31" t="s">
        <v>114</v>
      </c>
      <c r="B362">
        <v>100</v>
      </c>
    </row>
    <row r="363" spans="1:2" x14ac:dyDescent="0.3">
      <c r="A363" s="29" t="s">
        <v>136</v>
      </c>
      <c r="B363">
        <v>100</v>
      </c>
    </row>
    <row r="364" spans="1:2" x14ac:dyDescent="0.3">
      <c r="A364" s="29" t="s">
        <v>84</v>
      </c>
      <c r="B364">
        <v>100</v>
      </c>
    </row>
    <row r="365" spans="1:2" x14ac:dyDescent="0.3">
      <c r="A365" s="29" t="s">
        <v>147</v>
      </c>
      <c r="B365">
        <v>100</v>
      </c>
    </row>
    <row r="366" spans="1:2" x14ac:dyDescent="0.3">
      <c r="A366" s="29" t="s">
        <v>138</v>
      </c>
      <c r="B366">
        <v>100</v>
      </c>
    </row>
    <row r="367" spans="1:2" x14ac:dyDescent="0.3">
      <c r="A367" s="29" t="s">
        <v>142</v>
      </c>
      <c r="B367">
        <v>100</v>
      </c>
    </row>
    <row r="368" spans="1:2" x14ac:dyDescent="0.3">
      <c r="A368" s="29" t="s">
        <v>148</v>
      </c>
      <c r="B368">
        <v>100</v>
      </c>
    </row>
    <row r="369" spans="1:2" x14ac:dyDescent="0.3">
      <c r="A369" s="29" t="s">
        <v>145</v>
      </c>
      <c r="B369">
        <v>100</v>
      </c>
    </row>
    <row r="370" spans="1:2" x14ac:dyDescent="0.3">
      <c r="A370" s="29" t="s">
        <v>139</v>
      </c>
      <c r="B370">
        <v>100</v>
      </c>
    </row>
    <row r="371" spans="1:2" x14ac:dyDescent="0.3">
      <c r="A371" s="30" t="s">
        <v>98</v>
      </c>
      <c r="B371">
        <v>100</v>
      </c>
    </row>
    <row r="372" spans="1:2" x14ac:dyDescent="0.3">
      <c r="A372" s="31" t="s">
        <v>114</v>
      </c>
      <c r="B372">
        <v>100</v>
      </c>
    </row>
    <row r="373" spans="1:2" x14ac:dyDescent="0.3">
      <c r="A373" s="29" t="s">
        <v>119</v>
      </c>
      <c r="B373">
        <v>100</v>
      </c>
    </row>
    <row r="374" spans="1:2" x14ac:dyDescent="0.3">
      <c r="A374" s="30" t="s">
        <v>82</v>
      </c>
      <c r="B374">
        <v>100</v>
      </c>
    </row>
    <row r="375" spans="1:2" x14ac:dyDescent="0.3">
      <c r="A375" s="31" t="s">
        <v>114</v>
      </c>
      <c r="B375">
        <v>100</v>
      </c>
    </row>
    <row r="376" spans="1:2" x14ac:dyDescent="0.3">
      <c r="A376" s="29" t="s">
        <v>119</v>
      </c>
      <c r="B376">
        <v>100</v>
      </c>
    </row>
    <row r="377" spans="1:2" x14ac:dyDescent="0.3">
      <c r="A377" s="30" t="s">
        <v>82</v>
      </c>
      <c r="B377">
        <v>100</v>
      </c>
    </row>
    <row r="378" spans="1:2" x14ac:dyDescent="0.3">
      <c r="A378" s="31" t="s">
        <v>114</v>
      </c>
      <c r="B378">
        <v>100</v>
      </c>
    </row>
    <row r="379" spans="1:2" x14ac:dyDescent="0.3">
      <c r="A379" s="29" t="s">
        <v>136</v>
      </c>
      <c r="B379">
        <v>100</v>
      </c>
    </row>
    <row r="380" spans="1:2" x14ac:dyDescent="0.3">
      <c r="A380" s="29" t="s">
        <v>84</v>
      </c>
      <c r="B380">
        <v>100</v>
      </c>
    </row>
    <row r="381" spans="1:2" x14ac:dyDescent="0.3">
      <c r="A381" s="29" t="s">
        <v>150</v>
      </c>
      <c r="B381">
        <v>100</v>
      </c>
    </row>
    <row r="382" spans="1:2" x14ac:dyDescent="0.3">
      <c r="A382" s="29" t="s">
        <v>138</v>
      </c>
      <c r="B382">
        <v>100</v>
      </c>
    </row>
    <row r="383" spans="1:2" x14ac:dyDescent="0.3">
      <c r="A383" s="29" t="s">
        <v>139</v>
      </c>
      <c r="B383">
        <v>100</v>
      </c>
    </row>
    <row r="384" spans="1:2" x14ac:dyDescent="0.3">
      <c r="A384" s="30" t="s">
        <v>98</v>
      </c>
      <c r="B384">
        <v>100</v>
      </c>
    </row>
    <row r="385" spans="1:2" x14ac:dyDescent="0.3">
      <c r="A385" s="31" t="s">
        <v>114</v>
      </c>
      <c r="B385">
        <v>100</v>
      </c>
    </row>
    <row r="386" spans="1:2" x14ac:dyDescent="0.3">
      <c r="A386" s="29" t="s">
        <v>136</v>
      </c>
      <c r="B386">
        <v>100</v>
      </c>
    </row>
    <row r="387" spans="1:2" x14ac:dyDescent="0.3">
      <c r="A387" s="29" t="s">
        <v>84</v>
      </c>
      <c r="B387">
        <v>100</v>
      </c>
    </row>
    <row r="388" spans="1:2" x14ac:dyDescent="0.3">
      <c r="A388" s="29" t="s">
        <v>151</v>
      </c>
      <c r="B388">
        <v>100</v>
      </c>
    </row>
    <row r="389" spans="1:2" x14ac:dyDescent="0.3">
      <c r="A389" s="29" t="s">
        <v>145</v>
      </c>
      <c r="B389">
        <v>100</v>
      </c>
    </row>
    <row r="390" spans="1:2" x14ac:dyDescent="0.3">
      <c r="A390" s="29" t="s">
        <v>139</v>
      </c>
      <c r="B390">
        <v>100</v>
      </c>
    </row>
    <row r="391" spans="1:2" x14ac:dyDescent="0.3">
      <c r="A391" s="30" t="s">
        <v>98</v>
      </c>
      <c r="B391">
        <v>100</v>
      </c>
    </row>
    <row r="392" spans="1:2" x14ac:dyDescent="0.3">
      <c r="A392" s="31" t="s">
        <v>114</v>
      </c>
      <c r="B392">
        <v>100</v>
      </c>
    </row>
    <row r="393" spans="1:2" x14ac:dyDescent="0.3">
      <c r="A393" s="29" t="s">
        <v>136</v>
      </c>
      <c r="B393">
        <v>100</v>
      </c>
    </row>
    <row r="394" spans="1:2" x14ac:dyDescent="0.3">
      <c r="A394" s="29" t="s">
        <v>105</v>
      </c>
      <c r="B394">
        <v>100</v>
      </c>
    </row>
    <row r="395" spans="1:2" x14ac:dyDescent="0.3">
      <c r="A395" s="29" t="s">
        <v>137</v>
      </c>
      <c r="B395">
        <v>100</v>
      </c>
    </row>
    <row r="396" spans="1:2" x14ac:dyDescent="0.3">
      <c r="A396" s="29" t="s">
        <v>140</v>
      </c>
      <c r="B396">
        <v>100</v>
      </c>
    </row>
    <row r="397" spans="1:2" x14ac:dyDescent="0.3">
      <c r="A397" s="29" t="s">
        <v>139</v>
      </c>
      <c r="B397">
        <v>100</v>
      </c>
    </row>
    <row r="398" spans="1:2" x14ac:dyDescent="0.3">
      <c r="A398" s="30" t="s">
        <v>98</v>
      </c>
      <c r="B398">
        <v>100</v>
      </c>
    </row>
    <row r="399" spans="1:2" x14ac:dyDescent="0.3">
      <c r="A399" s="31" t="s">
        <v>114</v>
      </c>
      <c r="B399">
        <v>100</v>
      </c>
    </row>
    <row r="400" spans="1:2" x14ac:dyDescent="0.3">
      <c r="A400" s="29" t="s">
        <v>136</v>
      </c>
      <c r="B400">
        <v>100</v>
      </c>
    </row>
    <row r="401" spans="1:2" x14ac:dyDescent="0.3">
      <c r="A401" s="29" t="s">
        <v>105</v>
      </c>
      <c r="B401">
        <v>100</v>
      </c>
    </row>
    <row r="402" spans="1:2" x14ac:dyDescent="0.3">
      <c r="A402" s="29" t="s">
        <v>137</v>
      </c>
      <c r="B402">
        <v>100</v>
      </c>
    </row>
    <row r="403" spans="1:2" x14ac:dyDescent="0.3">
      <c r="A403" s="29" t="s">
        <v>140</v>
      </c>
      <c r="B403">
        <v>100</v>
      </c>
    </row>
    <row r="404" spans="1:2" x14ac:dyDescent="0.3">
      <c r="A404" s="29" t="s">
        <v>139</v>
      </c>
      <c r="B404">
        <v>100</v>
      </c>
    </row>
    <row r="405" spans="1:2" x14ac:dyDescent="0.3">
      <c r="A405" s="30" t="s">
        <v>98</v>
      </c>
      <c r="B405">
        <v>100</v>
      </c>
    </row>
    <row r="406" spans="1:2" x14ac:dyDescent="0.3">
      <c r="A406" s="31" t="s">
        <v>114</v>
      </c>
      <c r="B406">
        <v>100</v>
      </c>
    </row>
    <row r="407" spans="1:2" x14ac:dyDescent="0.3">
      <c r="A407" s="29" t="s">
        <v>136</v>
      </c>
      <c r="B407">
        <v>100</v>
      </c>
    </row>
    <row r="408" spans="1:2" x14ac:dyDescent="0.3">
      <c r="A408" s="29" t="s">
        <v>105</v>
      </c>
      <c r="B408">
        <v>100</v>
      </c>
    </row>
    <row r="409" spans="1:2" x14ac:dyDescent="0.3">
      <c r="A409" s="29" t="s">
        <v>137</v>
      </c>
      <c r="B409">
        <v>100</v>
      </c>
    </row>
    <row r="410" spans="1:2" x14ac:dyDescent="0.3">
      <c r="A410" s="29" t="s">
        <v>140</v>
      </c>
      <c r="B410">
        <v>100</v>
      </c>
    </row>
    <row r="411" spans="1:2" x14ac:dyDescent="0.3">
      <c r="A411" s="29" t="s">
        <v>139</v>
      </c>
      <c r="B411">
        <v>100</v>
      </c>
    </row>
    <row r="412" spans="1:2" x14ac:dyDescent="0.3">
      <c r="A412" s="30" t="s">
        <v>98</v>
      </c>
      <c r="B412">
        <v>100</v>
      </c>
    </row>
    <row r="413" spans="1:2" x14ac:dyDescent="0.3">
      <c r="A413" s="31" t="s">
        <v>114</v>
      </c>
      <c r="B413">
        <v>100</v>
      </c>
    </row>
    <row r="414" spans="1:2" x14ac:dyDescent="0.3">
      <c r="A414" s="29" t="s">
        <v>152</v>
      </c>
      <c r="B414">
        <v>100</v>
      </c>
    </row>
    <row r="415" spans="1:2" x14ac:dyDescent="0.3">
      <c r="A415" s="29" t="s">
        <v>119</v>
      </c>
      <c r="B415">
        <v>100</v>
      </c>
    </row>
    <row r="416" spans="1:2" x14ac:dyDescent="0.3">
      <c r="A416" s="30" t="s">
        <v>82</v>
      </c>
      <c r="B416">
        <v>100</v>
      </c>
    </row>
    <row r="417" spans="1:2" x14ac:dyDescent="0.3">
      <c r="A417" s="31" t="s">
        <v>114</v>
      </c>
      <c r="B417">
        <v>100</v>
      </c>
    </row>
    <row r="418" spans="1:2" x14ac:dyDescent="0.3">
      <c r="A418" s="32" t="s">
        <v>162</v>
      </c>
      <c r="B418">
        <v>100</v>
      </c>
    </row>
    <row r="419" spans="1:2" x14ac:dyDescent="0.3">
      <c r="A419" s="32" t="s">
        <v>163</v>
      </c>
      <c r="B419">
        <v>100</v>
      </c>
    </row>
    <row r="420" spans="1:2" x14ac:dyDescent="0.3">
      <c r="A420" s="29" t="s">
        <v>136</v>
      </c>
      <c r="B420">
        <v>100</v>
      </c>
    </row>
    <row r="421" spans="1:2" x14ac:dyDescent="0.3">
      <c r="A421" s="32" t="s">
        <v>164</v>
      </c>
      <c r="B421">
        <v>100</v>
      </c>
    </row>
    <row r="422" spans="1:2" x14ac:dyDescent="0.3">
      <c r="A422" s="29" t="s">
        <v>136</v>
      </c>
      <c r="B422">
        <v>100</v>
      </c>
    </row>
    <row r="423" spans="1:2" x14ac:dyDescent="0.3">
      <c r="A423" s="32" t="s">
        <v>165</v>
      </c>
      <c r="B423">
        <v>100</v>
      </c>
    </row>
    <row r="424" spans="1:2" x14ac:dyDescent="0.3">
      <c r="A424" s="32" t="s">
        <v>166</v>
      </c>
      <c r="B424">
        <v>100</v>
      </c>
    </row>
    <row r="425" spans="1:2" x14ac:dyDescent="0.3">
      <c r="A425" s="29" t="s">
        <v>98</v>
      </c>
      <c r="B425">
        <v>100</v>
      </c>
    </row>
    <row r="426" spans="1:2" x14ac:dyDescent="0.3">
      <c r="A426" s="29" t="s">
        <v>114</v>
      </c>
      <c r="B426">
        <v>100</v>
      </c>
    </row>
    <row r="427" spans="1:2" x14ac:dyDescent="0.3">
      <c r="A427" s="29" t="s">
        <v>180</v>
      </c>
      <c r="B427">
        <v>100</v>
      </c>
    </row>
    <row r="428" spans="1:2" x14ac:dyDescent="0.3">
      <c r="A428" s="29" t="s">
        <v>119</v>
      </c>
      <c r="B428">
        <v>100</v>
      </c>
    </row>
    <row r="429" spans="1:2" x14ac:dyDescent="0.3">
      <c r="A429" s="29" t="s">
        <v>181</v>
      </c>
      <c r="B429">
        <v>100</v>
      </c>
    </row>
    <row r="430" spans="1:2" x14ac:dyDescent="0.3">
      <c r="A430" s="29" t="s">
        <v>83</v>
      </c>
      <c r="B430">
        <v>100</v>
      </c>
    </row>
    <row r="431" spans="1:2" x14ac:dyDescent="0.3">
      <c r="A431" s="31" t="s">
        <v>80</v>
      </c>
      <c r="B431">
        <v>100</v>
      </c>
    </row>
    <row r="432" spans="1:2" x14ac:dyDescent="0.3">
      <c r="A432" s="29" t="s">
        <v>136</v>
      </c>
      <c r="B432">
        <v>100</v>
      </c>
    </row>
    <row r="433" spans="1:2" x14ac:dyDescent="0.3">
      <c r="A433" s="29" t="s">
        <v>84</v>
      </c>
      <c r="B433">
        <v>100</v>
      </c>
    </row>
    <row r="434" spans="1:2" x14ac:dyDescent="0.3">
      <c r="A434" s="29" t="s">
        <v>141</v>
      </c>
      <c r="B434">
        <v>100</v>
      </c>
    </row>
    <row r="435" spans="1:2" x14ac:dyDescent="0.3">
      <c r="A435" s="29" t="s">
        <v>146</v>
      </c>
      <c r="B435">
        <v>100</v>
      </c>
    </row>
    <row r="436" spans="1:2" x14ac:dyDescent="0.3">
      <c r="A436" s="31" t="s">
        <v>153</v>
      </c>
      <c r="B436">
        <v>100</v>
      </c>
    </row>
    <row r="437" spans="1:2" x14ac:dyDescent="0.3">
      <c r="A437" s="31" t="s">
        <v>154</v>
      </c>
      <c r="B437">
        <v>100</v>
      </c>
    </row>
    <row r="438" spans="1:2" x14ac:dyDescent="0.3">
      <c r="A438" s="29" t="s">
        <v>139</v>
      </c>
      <c r="B438">
        <v>100</v>
      </c>
    </row>
    <row r="439" spans="1:2" x14ac:dyDescent="0.3">
      <c r="A439" s="30" t="s">
        <v>155</v>
      </c>
      <c r="B439">
        <v>100</v>
      </c>
    </row>
    <row r="440" spans="1:2" x14ac:dyDescent="0.3">
      <c r="A440" s="30" t="s">
        <v>156</v>
      </c>
      <c r="B440">
        <v>100</v>
      </c>
    </row>
    <row r="441" spans="1:2" x14ac:dyDescent="0.3">
      <c r="A441" s="30" t="s">
        <v>157</v>
      </c>
      <c r="B441">
        <v>100</v>
      </c>
    </row>
    <row r="442" spans="1:2" x14ac:dyDescent="0.3">
      <c r="A442" s="30" t="s">
        <v>158</v>
      </c>
      <c r="B442">
        <v>100</v>
      </c>
    </row>
    <row r="443" spans="1:2" x14ac:dyDescent="0.3">
      <c r="A443" s="29" t="s">
        <v>136</v>
      </c>
      <c r="B443">
        <v>100</v>
      </c>
    </row>
    <row r="444" spans="1:2" x14ac:dyDescent="0.3">
      <c r="A444" s="29" t="s">
        <v>84</v>
      </c>
      <c r="B444">
        <v>100</v>
      </c>
    </row>
    <row r="445" spans="1:2" x14ac:dyDescent="0.3">
      <c r="A445" s="29" t="s">
        <v>141</v>
      </c>
      <c r="B445">
        <v>100</v>
      </c>
    </row>
    <row r="446" spans="1:2" x14ac:dyDescent="0.3">
      <c r="A446" s="29" t="s">
        <v>146</v>
      </c>
      <c r="B446">
        <v>100</v>
      </c>
    </row>
    <row r="447" spans="1:2" x14ac:dyDescent="0.3">
      <c r="A447" s="29" t="s">
        <v>149</v>
      </c>
      <c r="B447">
        <v>100</v>
      </c>
    </row>
    <row r="448" spans="1:2" x14ac:dyDescent="0.3">
      <c r="A448" s="31" t="s">
        <v>153</v>
      </c>
      <c r="B448">
        <v>100</v>
      </c>
    </row>
    <row r="449" spans="1:2" x14ac:dyDescent="0.3">
      <c r="A449" s="31" t="s">
        <v>154</v>
      </c>
      <c r="B449">
        <v>100</v>
      </c>
    </row>
    <row r="450" spans="1:2" x14ac:dyDescent="0.3">
      <c r="A450" s="31" t="s">
        <v>159</v>
      </c>
      <c r="B450">
        <v>100</v>
      </c>
    </row>
    <row r="451" spans="1:2" x14ac:dyDescent="0.3">
      <c r="A451" s="29" t="s">
        <v>139</v>
      </c>
      <c r="B451">
        <v>100</v>
      </c>
    </row>
    <row r="452" spans="1:2" x14ac:dyDescent="0.3">
      <c r="A452" s="30" t="s">
        <v>155</v>
      </c>
      <c r="B452">
        <v>100</v>
      </c>
    </row>
    <row r="453" spans="1:2" x14ac:dyDescent="0.3">
      <c r="A453" s="30" t="s">
        <v>156</v>
      </c>
      <c r="B453">
        <v>100</v>
      </c>
    </row>
    <row r="454" spans="1:2" x14ac:dyDescent="0.3">
      <c r="A454" s="30" t="s">
        <v>157</v>
      </c>
      <c r="B454">
        <v>100</v>
      </c>
    </row>
    <row r="455" spans="1:2" x14ac:dyDescent="0.3">
      <c r="A455" s="30" t="s">
        <v>158</v>
      </c>
      <c r="B455">
        <v>100</v>
      </c>
    </row>
    <row r="456" spans="1:2" x14ac:dyDescent="0.3">
      <c r="A456" s="33" t="s">
        <v>185</v>
      </c>
      <c r="B456">
        <v>100</v>
      </c>
    </row>
    <row r="457" spans="1:2" x14ac:dyDescent="0.3">
      <c r="A457" s="33" t="s">
        <v>186</v>
      </c>
      <c r="B457">
        <v>100</v>
      </c>
    </row>
    <row r="458" spans="1:2" x14ac:dyDescent="0.3">
      <c r="A458" s="33" t="s">
        <v>187</v>
      </c>
      <c r="B458">
        <v>100</v>
      </c>
    </row>
    <row r="459" spans="1:2" x14ac:dyDescent="0.3">
      <c r="A459" s="33" t="s">
        <v>188</v>
      </c>
      <c r="B459">
        <v>100</v>
      </c>
    </row>
    <row r="460" spans="1:2" x14ac:dyDescent="0.3">
      <c r="A460" s="33" t="s">
        <v>189</v>
      </c>
      <c r="B460">
        <v>100</v>
      </c>
    </row>
    <row r="461" spans="1:2" x14ac:dyDescent="0.3">
      <c r="A461" s="33" t="s">
        <v>190</v>
      </c>
      <c r="B461">
        <v>100</v>
      </c>
    </row>
    <row r="462" spans="1:2" x14ac:dyDescent="0.3">
      <c r="A462" s="33" t="s">
        <v>191</v>
      </c>
      <c r="B462">
        <v>100</v>
      </c>
    </row>
    <row r="463" spans="1:2" x14ac:dyDescent="0.3">
      <c r="A463" s="33" t="s">
        <v>192</v>
      </c>
      <c r="B463">
        <v>100</v>
      </c>
    </row>
    <row r="464" spans="1:2" x14ac:dyDescent="0.3">
      <c r="A464" s="33" t="s">
        <v>193</v>
      </c>
      <c r="B464">
        <v>100</v>
      </c>
    </row>
    <row r="465" spans="1:2" x14ac:dyDescent="0.3">
      <c r="A465" s="33" t="s">
        <v>194</v>
      </c>
      <c r="B465">
        <v>100</v>
      </c>
    </row>
    <row r="466" spans="1:2" x14ac:dyDescent="0.3">
      <c r="A466" s="33" t="s">
        <v>195</v>
      </c>
      <c r="B466">
        <v>100</v>
      </c>
    </row>
    <row r="467" spans="1:2" x14ac:dyDescent="0.3">
      <c r="A467" s="33" t="s">
        <v>196</v>
      </c>
      <c r="B467">
        <v>100</v>
      </c>
    </row>
    <row r="468" spans="1:2" x14ac:dyDescent="0.3">
      <c r="A468" s="33" t="s">
        <v>197</v>
      </c>
      <c r="B468">
        <v>100</v>
      </c>
    </row>
    <row r="469" spans="1:2" x14ac:dyDescent="0.3">
      <c r="A469" s="33" t="s">
        <v>198</v>
      </c>
      <c r="B469">
        <v>100</v>
      </c>
    </row>
    <row r="470" spans="1:2" x14ac:dyDescent="0.3">
      <c r="A470" s="33" t="s">
        <v>199</v>
      </c>
      <c r="B470">
        <v>100</v>
      </c>
    </row>
    <row r="471" spans="1:2" x14ac:dyDescent="0.3">
      <c r="A471" s="29" t="s">
        <v>83</v>
      </c>
      <c r="B471">
        <v>100</v>
      </c>
    </row>
    <row r="472" spans="1:2" x14ac:dyDescent="0.3">
      <c r="A472" s="29" t="s">
        <v>98</v>
      </c>
      <c r="B472">
        <v>100</v>
      </c>
    </row>
    <row r="473" spans="1:2" x14ac:dyDescent="0.3">
      <c r="A473" s="29" t="s">
        <v>200</v>
      </c>
      <c r="B473">
        <v>100</v>
      </c>
    </row>
    <row r="474" spans="1:2" x14ac:dyDescent="0.3">
      <c r="A474" s="29" t="s">
        <v>201</v>
      </c>
      <c r="B474">
        <v>100</v>
      </c>
    </row>
    <row r="475" spans="1:2" x14ac:dyDescent="0.3">
      <c r="A475" s="31" t="s">
        <v>168</v>
      </c>
      <c r="B475">
        <v>100</v>
      </c>
    </row>
    <row r="476" spans="1:2" x14ac:dyDescent="0.3">
      <c r="A476" s="31" t="s">
        <v>160</v>
      </c>
      <c r="B476">
        <v>100</v>
      </c>
    </row>
    <row r="477" spans="1:2" x14ac:dyDescent="0.3">
      <c r="A477" s="31" t="s">
        <v>169</v>
      </c>
      <c r="B477">
        <v>100</v>
      </c>
    </row>
    <row r="478" spans="1:2" x14ac:dyDescent="0.3">
      <c r="A478" s="31" t="s">
        <v>170</v>
      </c>
      <c r="B478">
        <v>100</v>
      </c>
    </row>
    <row r="479" spans="1:2" x14ac:dyDescent="0.3">
      <c r="A479" s="31" t="s">
        <v>118</v>
      </c>
      <c r="B479">
        <v>100</v>
      </c>
    </row>
    <row r="480" spans="1:2" x14ac:dyDescent="0.3">
      <c r="A480" s="31" t="s">
        <v>119</v>
      </c>
      <c r="B480">
        <v>100</v>
      </c>
    </row>
    <row r="481" spans="1:2" x14ac:dyDescent="0.3">
      <c r="A481" s="31" t="s">
        <v>171</v>
      </c>
      <c r="B481">
        <v>100</v>
      </c>
    </row>
    <row r="482" spans="1:2" x14ac:dyDescent="0.3">
      <c r="A482" s="31" t="s">
        <v>121</v>
      </c>
      <c r="B482">
        <v>100</v>
      </c>
    </row>
    <row r="483" spans="1:2" x14ac:dyDescent="0.3">
      <c r="A483" s="31" t="s">
        <v>114</v>
      </c>
      <c r="B483">
        <v>100</v>
      </c>
    </row>
    <row r="484" spans="1:2" x14ac:dyDescent="0.3">
      <c r="A484" s="29" t="s">
        <v>98</v>
      </c>
      <c r="B484">
        <v>100</v>
      </c>
    </row>
    <row r="485" spans="1:2" x14ac:dyDescent="0.3">
      <c r="A485" s="34" t="s">
        <v>172</v>
      </c>
      <c r="B485">
        <v>100</v>
      </c>
    </row>
    <row r="486" spans="1:2" x14ac:dyDescent="0.3">
      <c r="A486" s="34" t="s">
        <v>105</v>
      </c>
      <c r="B486">
        <v>100</v>
      </c>
    </row>
    <row r="487" spans="1:2" x14ac:dyDescent="0.3">
      <c r="A487" s="34" t="s">
        <v>167</v>
      </c>
      <c r="B487">
        <v>100</v>
      </c>
    </row>
    <row r="488" spans="1:2" x14ac:dyDescent="0.3">
      <c r="A488" s="34" t="s">
        <v>171</v>
      </c>
      <c r="B488">
        <v>100</v>
      </c>
    </row>
    <row r="489" spans="1:2" x14ac:dyDescent="0.3">
      <c r="A489" s="35" t="s">
        <v>121</v>
      </c>
      <c r="B489">
        <v>100</v>
      </c>
    </row>
    <row r="490" spans="1:2" x14ac:dyDescent="0.3">
      <c r="A490" s="29" t="s">
        <v>98</v>
      </c>
      <c r="B490">
        <v>100</v>
      </c>
    </row>
    <row r="491" spans="1:2" x14ac:dyDescent="0.3">
      <c r="A491" s="31" t="s">
        <v>114</v>
      </c>
      <c r="B491">
        <v>100</v>
      </c>
    </row>
    <row r="492" spans="1:2" x14ac:dyDescent="0.3">
      <c r="A492" s="29" t="s">
        <v>173</v>
      </c>
      <c r="B492">
        <v>100</v>
      </c>
    </row>
    <row r="493" spans="1:2" x14ac:dyDescent="0.3">
      <c r="A493" s="30" t="s">
        <v>82</v>
      </c>
      <c r="B493">
        <v>100</v>
      </c>
    </row>
    <row r="494" spans="1:2" x14ac:dyDescent="0.3">
      <c r="A494" s="30" t="s">
        <v>83</v>
      </c>
      <c r="B494">
        <v>100</v>
      </c>
    </row>
    <row r="495" spans="1:2" x14ac:dyDescent="0.3">
      <c r="A495" s="27" t="s">
        <v>99</v>
      </c>
      <c r="B495">
        <v>100</v>
      </c>
    </row>
    <row r="496" spans="1:2" x14ac:dyDescent="0.3">
      <c r="A496" s="27" t="s">
        <v>78</v>
      </c>
      <c r="B496">
        <v>100</v>
      </c>
    </row>
    <row r="497" spans="1:2" x14ac:dyDescent="0.3">
      <c r="A497" s="27" t="s">
        <v>79</v>
      </c>
      <c r="B497">
        <v>100</v>
      </c>
    </row>
    <row r="498" spans="1:2" x14ac:dyDescent="0.3">
      <c r="A498" s="28" t="s">
        <v>80</v>
      </c>
      <c r="B498">
        <v>100</v>
      </c>
    </row>
    <row r="499" spans="1:2" x14ac:dyDescent="0.3">
      <c r="A499" s="28" t="s">
        <v>81</v>
      </c>
      <c r="B499">
        <v>100</v>
      </c>
    </row>
    <row r="500" spans="1:2" x14ac:dyDescent="0.3">
      <c r="A500" s="28" t="s">
        <v>105</v>
      </c>
      <c r="B500">
        <v>100</v>
      </c>
    </row>
    <row r="501" spans="1:2" x14ac:dyDescent="0.3">
      <c r="A501" s="27" t="s">
        <v>89</v>
      </c>
      <c r="B501">
        <v>100</v>
      </c>
    </row>
    <row r="502" spans="1:2" x14ac:dyDescent="0.3">
      <c r="A502" s="27" t="s">
        <v>102</v>
      </c>
      <c r="B502">
        <v>100</v>
      </c>
    </row>
    <row r="503" spans="1:2" x14ac:dyDescent="0.3">
      <c r="A503" s="27" t="s">
        <v>90</v>
      </c>
      <c r="B503">
        <v>100</v>
      </c>
    </row>
    <row r="504" spans="1:2" x14ac:dyDescent="0.3">
      <c r="A504" s="27" t="s">
        <v>91</v>
      </c>
      <c r="B504">
        <v>100</v>
      </c>
    </row>
    <row r="505" spans="1:2" x14ac:dyDescent="0.3">
      <c r="A505" s="27" t="s">
        <v>101</v>
      </c>
      <c r="B505">
        <v>100</v>
      </c>
    </row>
    <row r="506" spans="1:2" x14ac:dyDescent="0.3">
      <c r="A506" s="28" t="s">
        <v>94</v>
      </c>
      <c r="B506">
        <v>100</v>
      </c>
    </row>
    <row r="507" spans="1:2" x14ac:dyDescent="0.3">
      <c r="A507" s="28" t="s">
        <v>95</v>
      </c>
      <c r="B507">
        <v>100</v>
      </c>
    </row>
    <row r="508" spans="1:2" x14ac:dyDescent="0.3">
      <c r="A508" s="27" t="s">
        <v>96</v>
      </c>
      <c r="B508">
        <v>100</v>
      </c>
    </row>
    <row r="509" spans="1:2" x14ac:dyDescent="0.3">
      <c r="A509" s="27" t="s">
        <v>97</v>
      </c>
      <c r="B509">
        <v>100</v>
      </c>
    </row>
    <row r="510" spans="1:2" x14ac:dyDescent="0.3">
      <c r="A510" s="27" t="s">
        <v>98</v>
      </c>
      <c r="B510">
        <v>100</v>
      </c>
    </row>
    <row r="511" spans="1:2" x14ac:dyDescent="0.3">
      <c r="A511" s="28" t="s">
        <v>114</v>
      </c>
      <c r="B511">
        <v>100</v>
      </c>
    </row>
    <row r="512" spans="1:2" x14ac:dyDescent="0.3">
      <c r="A512" s="27" t="s">
        <v>78</v>
      </c>
      <c r="B512">
        <v>100</v>
      </c>
    </row>
    <row r="513" spans="1:2" x14ac:dyDescent="0.3">
      <c r="A513" s="36" t="s">
        <v>115</v>
      </c>
      <c r="B513">
        <v>100</v>
      </c>
    </row>
    <row r="514" spans="1:2" x14ac:dyDescent="0.3">
      <c r="A514" s="36" t="s">
        <v>105</v>
      </c>
      <c r="B514">
        <v>100</v>
      </c>
    </row>
    <row r="515" spans="1:2" x14ac:dyDescent="0.3">
      <c r="A515" s="36" t="s">
        <v>89</v>
      </c>
      <c r="B515">
        <v>100</v>
      </c>
    </row>
    <row r="516" spans="1:2" x14ac:dyDescent="0.3">
      <c r="A516" s="28" t="s">
        <v>102</v>
      </c>
      <c r="B516">
        <v>100</v>
      </c>
    </row>
    <row r="517" spans="1:2" x14ac:dyDescent="0.3">
      <c r="A517" s="27" t="s">
        <v>90</v>
      </c>
      <c r="B517">
        <v>100</v>
      </c>
    </row>
    <row r="518" spans="1:2" x14ac:dyDescent="0.3">
      <c r="A518" s="27" t="s">
        <v>91</v>
      </c>
      <c r="B518">
        <v>100</v>
      </c>
    </row>
    <row r="519" spans="1:2" x14ac:dyDescent="0.3">
      <c r="A519" s="36" t="s">
        <v>96</v>
      </c>
      <c r="B519">
        <v>100</v>
      </c>
    </row>
    <row r="520" spans="1:2" x14ac:dyDescent="0.3">
      <c r="A520" s="36" t="s">
        <v>116</v>
      </c>
      <c r="B520">
        <v>100</v>
      </c>
    </row>
    <row r="521" spans="1:2" x14ac:dyDescent="0.3">
      <c r="A521" s="36" t="s">
        <v>117</v>
      </c>
      <c r="B521">
        <v>100</v>
      </c>
    </row>
    <row r="522" spans="1:2" x14ac:dyDescent="0.3">
      <c r="A522" s="36" t="s">
        <v>118</v>
      </c>
      <c r="B522">
        <v>100</v>
      </c>
    </row>
    <row r="523" spans="1:2" x14ac:dyDescent="0.3">
      <c r="A523" s="36" t="s">
        <v>119</v>
      </c>
      <c r="B523">
        <v>100</v>
      </c>
    </row>
    <row r="524" spans="1:2" x14ac:dyDescent="0.3">
      <c r="A524" s="36" t="s">
        <v>120</v>
      </c>
      <c r="B524">
        <v>100</v>
      </c>
    </row>
    <row r="525" spans="1:2" x14ac:dyDescent="0.3">
      <c r="A525" s="36" t="s">
        <v>121</v>
      </c>
      <c r="B525">
        <v>100</v>
      </c>
    </row>
    <row r="526" spans="1:2" x14ac:dyDescent="0.3">
      <c r="A526" s="27" t="s">
        <v>98</v>
      </c>
      <c r="B526">
        <v>100</v>
      </c>
    </row>
    <row r="527" spans="1:2" x14ac:dyDescent="0.3">
      <c r="A527" s="28" t="s">
        <v>114</v>
      </c>
      <c r="B527">
        <v>100</v>
      </c>
    </row>
    <row r="528" spans="1:2" x14ac:dyDescent="0.3">
      <c r="A528" s="36" t="s">
        <v>97</v>
      </c>
      <c r="B528">
        <v>100</v>
      </c>
    </row>
    <row r="529" spans="1:2" x14ac:dyDescent="0.3">
      <c r="A529" s="27" t="s">
        <v>99</v>
      </c>
      <c r="B529">
        <v>100</v>
      </c>
    </row>
    <row r="530" spans="1:2" x14ac:dyDescent="0.3">
      <c r="A530" s="27" t="s">
        <v>78</v>
      </c>
      <c r="B530">
        <v>100</v>
      </c>
    </row>
    <row r="531" spans="1:2" x14ac:dyDescent="0.3">
      <c r="A531" s="27" t="s">
        <v>79</v>
      </c>
      <c r="B531">
        <v>100</v>
      </c>
    </row>
    <row r="532" spans="1:2" x14ac:dyDescent="0.3">
      <c r="A532" s="28" t="s">
        <v>80</v>
      </c>
      <c r="B532">
        <v>100</v>
      </c>
    </row>
    <row r="533" spans="1:2" x14ac:dyDescent="0.3">
      <c r="A533" s="28" t="s">
        <v>81</v>
      </c>
      <c r="B533">
        <v>100</v>
      </c>
    </row>
    <row r="534" spans="1:2" x14ac:dyDescent="0.3">
      <c r="A534" s="28" t="s">
        <v>105</v>
      </c>
      <c r="B534">
        <v>100</v>
      </c>
    </row>
    <row r="535" spans="1:2" x14ac:dyDescent="0.3">
      <c r="A535" s="28" t="s">
        <v>110</v>
      </c>
      <c r="B535">
        <v>100</v>
      </c>
    </row>
    <row r="536" spans="1:2" x14ac:dyDescent="0.3">
      <c r="A536" s="27" t="s">
        <v>102</v>
      </c>
      <c r="B536">
        <v>100</v>
      </c>
    </row>
    <row r="537" spans="1:2" x14ac:dyDescent="0.3">
      <c r="A537" s="27" t="s">
        <v>90</v>
      </c>
      <c r="B537">
        <v>100</v>
      </c>
    </row>
    <row r="538" spans="1:2" x14ac:dyDescent="0.3">
      <c r="A538" s="27" t="s">
        <v>91</v>
      </c>
      <c r="B538">
        <v>100</v>
      </c>
    </row>
    <row r="539" spans="1:2" x14ac:dyDescent="0.3">
      <c r="A539" s="27" t="s">
        <v>101</v>
      </c>
      <c r="B539">
        <v>100</v>
      </c>
    </row>
    <row r="540" spans="1:2" x14ac:dyDescent="0.3">
      <c r="A540" s="28" t="s">
        <v>94</v>
      </c>
      <c r="B540">
        <v>100</v>
      </c>
    </row>
    <row r="541" spans="1:2" x14ac:dyDescent="0.3">
      <c r="A541" s="28" t="s">
        <v>95</v>
      </c>
      <c r="B541">
        <v>100</v>
      </c>
    </row>
    <row r="542" spans="1:2" x14ac:dyDescent="0.3">
      <c r="A542" s="27" t="s">
        <v>96</v>
      </c>
      <c r="B542">
        <v>100</v>
      </c>
    </row>
    <row r="543" spans="1:2" x14ac:dyDescent="0.3">
      <c r="A543" s="27" t="s">
        <v>97</v>
      </c>
      <c r="B543">
        <v>100</v>
      </c>
    </row>
    <row r="544" spans="1:2" x14ac:dyDescent="0.3">
      <c r="A544" s="27" t="s">
        <v>98</v>
      </c>
      <c r="B544">
        <v>100</v>
      </c>
    </row>
    <row r="545" spans="1:2" x14ac:dyDescent="0.3">
      <c r="A545" s="28" t="s">
        <v>114</v>
      </c>
      <c r="B545">
        <v>100</v>
      </c>
    </row>
    <row r="546" spans="1:2" x14ac:dyDescent="0.3">
      <c r="A546" s="27" t="s">
        <v>99</v>
      </c>
      <c r="B546">
        <v>100</v>
      </c>
    </row>
    <row r="547" spans="1:2" x14ac:dyDescent="0.3">
      <c r="A547" s="27" t="s">
        <v>78</v>
      </c>
      <c r="B547">
        <v>100</v>
      </c>
    </row>
    <row r="548" spans="1:2" x14ac:dyDescent="0.3">
      <c r="A548" s="27" t="s">
        <v>79</v>
      </c>
      <c r="B548">
        <v>100</v>
      </c>
    </row>
    <row r="549" spans="1:2" x14ac:dyDescent="0.3">
      <c r="A549" s="28" t="s">
        <v>80</v>
      </c>
      <c r="B549">
        <v>100</v>
      </c>
    </row>
    <row r="550" spans="1:2" x14ac:dyDescent="0.3">
      <c r="A550" s="28" t="s">
        <v>81</v>
      </c>
      <c r="B550">
        <v>100</v>
      </c>
    </row>
    <row r="551" spans="1:2" x14ac:dyDescent="0.3">
      <c r="A551" s="28" t="s">
        <v>105</v>
      </c>
      <c r="B551">
        <v>100</v>
      </c>
    </row>
    <row r="552" spans="1:2" x14ac:dyDescent="0.3">
      <c r="A552" s="28" t="s">
        <v>111</v>
      </c>
      <c r="B552">
        <v>100</v>
      </c>
    </row>
    <row r="553" spans="1:2" x14ac:dyDescent="0.3">
      <c r="A553" s="28" t="s">
        <v>112</v>
      </c>
      <c r="B553">
        <v>100</v>
      </c>
    </row>
    <row r="554" spans="1:2" x14ac:dyDescent="0.3">
      <c r="A554" s="27" t="s">
        <v>110</v>
      </c>
      <c r="B554">
        <v>100</v>
      </c>
    </row>
    <row r="555" spans="1:2" x14ac:dyDescent="0.3">
      <c r="A555" s="27" t="s">
        <v>102</v>
      </c>
      <c r="B555">
        <v>100</v>
      </c>
    </row>
    <row r="556" spans="1:2" x14ac:dyDescent="0.3">
      <c r="A556" s="27" t="s">
        <v>90</v>
      </c>
      <c r="B556">
        <v>100</v>
      </c>
    </row>
    <row r="557" spans="1:2" x14ac:dyDescent="0.3">
      <c r="A557" s="27" t="s">
        <v>91</v>
      </c>
      <c r="B557">
        <v>100</v>
      </c>
    </row>
    <row r="558" spans="1:2" x14ac:dyDescent="0.3">
      <c r="A558" s="27" t="s">
        <v>101</v>
      </c>
      <c r="B558">
        <v>100</v>
      </c>
    </row>
    <row r="559" spans="1:2" x14ac:dyDescent="0.3">
      <c r="A559" s="28" t="s">
        <v>94</v>
      </c>
      <c r="B559">
        <v>100</v>
      </c>
    </row>
    <row r="560" spans="1:2" x14ac:dyDescent="0.3">
      <c r="A560" s="28" t="s">
        <v>95</v>
      </c>
      <c r="B560">
        <v>100</v>
      </c>
    </row>
    <row r="561" spans="1:2" x14ac:dyDescent="0.3">
      <c r="A561" s="27" t="s">
        <v>96</v>
      </c>
      <c r="B561">
        <v>100</v>
      </c>
    </row>
    <row r="562" spans="1:2" x14ac:dyDescent="0.3">
      <c r="A562" s="27" t="s">
        <v>97</v>
      </c>
      <c r="B562">
        <v>100</v>
      </c>
    </row>
    <row r="563" spans="1:2" x14ac:dyDescent="0.3">
      <c r="A563" s="27" t="s">
        <v>98</v>
      </c>
      <c r="B563">
        <v>100</v>
      </c>
    </row>
    <row r="564" spans="1:2" x14ac:dyDescent="0.3">
      <c r="A564" s="28" t="s">
        <v>114</v>
      </c>
      <c r="B564">
        <v>100</v>
      </c>
    </row>
    <row r="565" spans="1:2" x14ac:dyDescent="0.3">
      <c r="A565" s="31" t="s">
        <v>180</v>
      </c>
      <c r="B565">
        <v>100</v>
      </c>
    </row>
    <row r="566" spans="1:2" x14ac:dyDescent="0.3">
      <c r="A566" s="30" t="s">
        <v>181</v>
      </c>
      <c r="B566">
        <v>100</v>
      </c>
    </row>
    <row r="567" spans="1:2" x14ac:dyDescent="0.3">
      <c r="A567" s="30" t="s">
        <v>83</v>
      </c>
      <c r="B567">
        <v>100</v>
      </c>
    </row>
    <row r="568" spans="1:2" x14ac:dyDescent="0.3">
      <c r="A568" s="29" t="s">
        <v>99</v>
      </c>
      <c r="B568">
        <v>100</v>
      </c>
    </row>
    <row r="569" spans="1:2" x14ac:dyDescent="0.3">
      <c r="A569" s="31" t="s">
        <v>112</v>
      </c>
      <c r="B569">
        <v>100</v>
      </c>
    </row>
    <row r="570" spans="1:2" x14ac:dyDescent="0.3">
      <c r="A570" s="31" t="s">
        <v>111</v>
      </c>
      <c r="B570">
        <v>100</v>
      </c>
    </row>
    <row r="571" spans="1:2" x14ac:dyDescent="0.3">
      <c r="A571" s="29" t="s">
        <v>84</v>
      </c>
      <c r="B571">
        <v>100</v>
      </c>
    </row>
    <row r="572" spans="1:2" x14ac:dyDescent="0.3">
      <c r="A572" s="30" t="s">
        <v>98</v>
      </c>
      <c r="B572">
        <v>100</v>
      </c>
    </row>
    <row r="573" spans="1:2" x14ac:dyDescent="0.3">
      <c r="A573" s="30" t="s">
        <v>83</v>
      </c>
      <c r="B573">
        <v>100</v>
      </c>
    </row>
    <row r="574" spans="1:2" x14ac:dyDescent="0.3">
      <c r="A574" s="29" t="s">
        <v>99</v>
      </c>
      <c r="B574">
        <v>100</v>
      </c>
    </row>
    <row r="575" spans="1:2" x14ac:dyDescent="0.3">
      <c r="A575" s="31" t="s">
        <v>112</v>
      </c>
      <c r="B575">
        <v>100</v>
      </c>
    </row>
    <row r="576" spans="1:2" x14ac:dyDescent="0.3">
      <c r="A576" s="31" t="s">
        <v>111</v>
      </c>
      <c r="B576">
        <v>100</v>
      </c>
    </row>
    <row r="577" spans="1:2" x14ac:dyDescent="0.3">
      <c r="A577" s="29" t="s">
        <v>84</v>
      </c>
      <c r="B577">
        <v>100</v>
      </c>
    </row>
    <row r="578" spans="1:2" x14ac:dyDescent="0.3">
      <c r="A578" s="30" t="s">
        <v>98</v>
      </c>
      <c r="B578">
        <v>100</v>
      </c>
    </row>
    <row r="579" spans="1:2" x14ac:dyDescent="0.3">
      <c r="A579" s="30" t="s">
        <v>83</v>
      </c>
      <c r="B579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materials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Peh Ping Boon</dc:creator>
  <cp:lastModifiedBy>peh yan bin</cp:lastModifiedBy>
  <dcterms:created xsi:type="dcterms:W3CDTF">2026-02-23T09:21:09Z</dcterms:created>
  <dcterms:modified xsi:type="dcterms:W3CDTF">2026-02-23T13:45:21Z</dcterms:modified>
</cp:coreProperties>
</file>